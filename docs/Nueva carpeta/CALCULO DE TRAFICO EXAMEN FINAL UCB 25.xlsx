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zupo\UCSP\TRAFICO 2\TRAFICO\"/>
    </mc:Choice>
  </mc:AlternateContent>
  <xr:revisionPtr revIDLastSave="0" documentId="13_ncr:1_{E1EA5157-4E61-4E89-8026-968B1F89D5F0}" xr6:coauthVersionLast="47" xr6:coauthVersionMax="47" xr10:uidLastSave="{00000000-0000-0000-0000-000000000000}"/>
  <bookViews>
    <workbookView xWindow="-120" yWindow="-120" windowWidth="20730" windowHeight="11040" firstSheet="7" activeTab="14" xr2:uid="{00000000-000D-0000-FFFF-FFFF00000000}"/>
  </bookViews>
  <sheets>
    <sheet name="CONSOLIDADO" sheetId="13" r:id="rId1"/>
    <sheet name="dia 1" sheetId="1" r:id="rId2"/>
    <sheet name="dia 2" sheetId="2" r:id="rId3"/>
    <sheet name="dia 3" sheetId="3" r:id="rId4"/>
    <sheet name="dia 4" sheetId="4" r:id="rId5"/>
    <sheet name="dia 5" sheetId="5" r:id="rId6"/>
    <sheet name="dia 6" sheetId="6" r:id="rId7"/>
    <sheet name="dia 7" sheetId="7" r:id="rId8"/>
    <sheet name="gráfica" sheetId="8" r:id="rId9"/>
    <sheet name="FHP" sheetId="9" r:id="rId10"/>
    <sheet name="historicos" sheetId="10" r:id="rId11"/>
    <sheet name="factor estacional" sheetId="11" r:id="rId12"/>
    <sheet name="velocidad recorrido" sheetId="12" r:id="rId13"/>
    <sheet name="TPDA" sheetId="14" r:id="rId14"/>
    <sheet name="EE1" sheetId="15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8" i="15" l="1"/>
  <c r="U5" i="15" s="1"/>
  <c r="A15" i="15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L14" i="15"/>
  <c r="A14" i="15"/>
  <c r="AL9" i="15"/>
  <c r="A8" i="15"/>
  <c r="A9" i="15" s="1"/>
  <c r="A10" i="15" s="1"/>
  <c r="A11" i="15" s="1"/>
  <c r="A12" i="15" s="1"/>
  <c r="A13" i="15" s="1"/>
  <c r="Y5" i="15"/>
  <c r="S5" i="15"/>
  <c r="Q5" i="15"/>
  <c r="O5" i="15"/>
  <c r="G5" i="15"/>
  <c r="E5" i="15"/>
  <c r="AL4" i="15"/>
  <c r="C5" i="15" s="1"/>
  <c r="Y4" i="15"/>
  <c r="W4" i="15"/>
  <c r="U4" i="15"/>
  <c r="S4" i="15"/>
  <c r="Q4" i="15"/>
  <c r="O4" i="15"/>
  <c r="M4" i="15"/>
  <c r="K4" i="15"/>
  <c r="I4" i="15"/>
  <c r="G4" i="15"/>
  <c r="E4" i="15"/>
  <c r="C4" i="15"/>
  <c r="Y3" i="15"/>
  <c r="W3" i="15"/>
  <c r="U3" i="15"/>
  <c r="S3" i="15"/>
  <c r="Q3" i="15"/>
  <c r="O3" i="15"/>
  <c r="M3" i="15"/>
  <c r="K3" i="15"/>
  <c r="I3" i="15"/>
  <c r="G3" i="15"/>
  <c r="E3" i="15"/>
  <c r="C3" i="15"/>
  <c r="A11" i="14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7" i="14"/>
  <c r="A8" i="14" s="1"/>
  <c r="A9" i="14" s="1"/>
  <c r="A10" i="14" s="1"/>
  <c r="E6" i="14"/>
  <c r="E7" i="14" s="1"/>
  <c r="W5" i="15" l="1"/>
  <c r="L6" i="14"/>
  <c r="L7" i="14" s="1"/>
  <c r="M6" i="14"/>
  <c r="J6" i="14"/>
  <c r="N6" i="14"/>
  <c r="N7" i="14"/>
  <c r="G8" i="15"/>
  <c r="H8" i="15"/>
  <c r="C6" i="14"/>
  <c r="G7" i="15"/>
  <c r="H7" i="15"/>
  <c r="E8" i="14"/>
  <c r="D6" i="14"/>
  <c r="D7" i="14"/>
  <c r="F6" i="14"/>
  <c r="F7" i="14" s="1"/>
  <c r="K5" i="15"/>
  <c r="I5" i="15"/>
  <c r="M5" i="15"/>
  <c r="G6" i="14"/>
  <c r="H6" i="14"/>
  <c r="H7" i="14" s="1"/>
  <c r="I6" i="14"/>
  <c r="K6" i="14"/>
  <c r="N8" i="15" l="1"/>
  <c r="M8" i="15"/>
  <c r="H8" i="14"/>
  <c r="F8" i="15"/>
  <c r="D8" i="14"/>
  <c r="E8" i="15"/>
  <c r="R7" i="15"/>
  <c r="Q7" i="15"/>
  <c r="Y8" i="15"/>
  <c r="Z8" i="15"/>
  <c r="N8" i="14"/>
  <c r="G7" i="14"/>
  <c r="L7" i="15"/>
  <c r="K7" i="15"/>
  <c r="V8" i="15"/>
  <c r="L8" i="14"/>
  <c r="U8" i="15"/>
  <c r="C7" i="15"/>
  <c r="D7" i="15"/>
  <c r="O6" i="14"/>
  <c r="P6" i="14" s="1"/>
  <c r="C7" i="14"/>
  <c r="N7" i="15"/>
  <c r="M7" i="15"/>
  <c r="I8" i="15"/>
  <c r="J8" i="15"/>
  <c r="F8" i="14"/>
  <c r="F7" i="15"/>
  <c r="E7" i="15"/>
  <c r="S7" i="15"/>
  <c r="T7" i="15"/>
  <c r="K7" i="14"/>
  <c r="O7" i="15"/>
  <c r="I7" i="14"/>
  <c r="P7" i="15"/>
  <c r="H9" i="15"/>
  <c r="G9" i="15"/>
  <c r="E9" i="14"/>
  <c r="Z7" i="15"/>
  <c r="Y7" i="15"/>
  <c r="J7" i="14"/>
  <c r="W7" i="15"/>
  <c r="X7" i="15"/>
  <c r="M7" i="14"/>
  <c r="J7" i="15"/>
  <c r="I7" i="15"/>
  <c r="U7" i="15"/>
  <c r="V7" i="15"/>
  <c r="Y9" i="15" l="1"/>
  <c r="Z9" i="15"/>
  <c r="N9" i="14"/>
  <c r="AA7" i="15"/>
  <c r="AB7" i="15" s="1"/>
  <c r="L8" i="15"/>
  <c r="K8" i="15"/>
  <c r="G8" i="14"/>
  <c r="P8" i="15"/>
  <c r="O8" i="15"/>
  <c r="I8" i="14"/>
  <c r="D8" i="15"/>
  <c r="C8" i="15"/>
  <c r="AA8" i="15" s="1"/>
  <c r="AB8" i="15" s="1"/>
  <c r="O7" i="14"/>
  <c r="P7" i="14" s="1"/>
  <c r="C8" i="14"/>
  <c r="X8" i="15"/>
  <c r="W8" i="15"/>
  <c r="M8" i="14"/>
  <c r="K8" i="14"/>
  <c r="S8" i="15"/>
  <c r="T8" i="15"/>
  <c r="F9" i="15"/>
  <c r="E9" i="15"/>
  <c r="D9" i="14"/>
  <c r="Q8" i="15"/>
  <c r="R8" i="15"/>
  <c r="J8" i="14"/>
  <c r="U9" i="15"/>
  <c r="V9" i="15"/>
  <c r="L9" i="14"/>
  <c r="M9" i="15"/>
  <c r="H9" i="14"/>
  <c r="N9" i="15"/>
  <c r="I9" i="15"/>
  <c r="J9" i="15"/>
  <c r="F9" i="14"/>
  <c r="H10" i="15"/>
  <c r="E10" i="14"/>
  <c r="G10" i="15"/>
  <c r="E10" i="15" l="1"/>
  <c r="F10" i="15"/>
  <c r="D10" i="14"/>
  <c r="O9" i="15"/>
  <c r="I9" i="14"/>
  <c r="P9" i="15"/>
  <c r="X9" i="15"/>
  <c r="W9" i="15"/>
  <c r="M9" i="14"/>
  <c r="I10" i="15"/>
  <c r="J10" i="15"/>
  <c r="F10" i="14"/>
  <c r="N10" i="15"/>
  <c r="M10" i="15"/>
  <c r="H10" i="14"/>
  <c r="L9" i="15"/>
  <c r="K9" i="15"/>
  <c r="G9" i="14"/>
  <c r="S9" i="15"/>
  <c r="K9" i="14"/>
  <c r="T9" i="15"/>
  <c r="U10" i="15"/>
  <c r="V10" i="15"/>
  <c r="L10" i="14"/>
  <c r="Z10" i="15"/>
  <c r="Y10" i="15"/>
  <c r="N10" i="14"/>
  <c r="Q9" i="15"/>
  <c r="R9" i="15"/>
  <c r="J9" i="14"/>
  <c r="O8" i="14"/>
  <c r="P8" i="14" s="1"/>
  <c r="D9" i="15"/>
  <c r="C9" i="15"/>
  <c r="AA9" i="15" s="1"/>
  <c r="AB9" i="15" s="1"/>
  <c r="C9" i="14"/>
  <c r="H11" i="15"/>
  <c r="G11" i="15"/>
  <c r="E11" i="14"/>
  <c r="U11" i="15" l="1"/>
  <c r="V11" i="15"/>
  <c r="L11" i="14"/>
  <c r="X10" i="15"/>
  <c r="W10" i="15"/>
  <c r="M10" i="14"/>
  <c r="T10" i="15"/>
  <c r="K10" i="14"/>
  <c r="S10" i="15"/>
  <c r="Q10" i="15"/>
  <c r="R10" i="15"/>
  <c r="J10" i="14"/>
  <c r="J11" i="15"/>
  <c r="I11" i="15"/>
  <c r="F11" i="14"/>
  <c r="D10" i="15"/>
  <c r="O9" i="14"/>
  <c r="P9" i="14" s="1"/>
  <c r="C10" i="15"/>
  <c r="C10" i="14"/>
  <c r="K10" i="15"/>
  <c r="G10" i="14"/>
  <c r="L10" i="15"/>
  <c r="P10" i="15"/>
  <c r="O10" i="15"/>
  <c r="I10" i="14"/>
  <c r="Z11" i="15"/>
  <c r="Y11" i="15"/>
  <c r="N11" i="14"/>
  <c r="N11" i="15"/>
  <c r="H11" i="14"/>
  <c r="M11" i="15"/>
  <c r="F11" i="15"/>
  <c r="E11" i="15"/>
  <c r="D11" i="14"/>
  <c r="H12" i="15"/>
  <c r="G12" i="15"/>
  <c r="E12" i="14"/>
  <c r="R11" i="15" l="1"/>
  <c r="Q11" i="15"/>
  <c r="J11" i="14"/>
  <c r="G11" i="14"/>
  <c r="K11" i="15"/>
  <c r="L11" i="15"/>
  <c r="C11" i="15"/>
  <c r="O10" i="14"/>
  <c r="P10" i="14" s="1"/>
  <c r="D11" i="15"/>
  <c r="C11" i="14"/>
  <c r="AA10" i="15"/>
  <c r="AB10" i="15" s="1"/>
  <c r="Z12" i="15"/>
  <c r="Y12" i="15"/>
  <c r="N12" i="14"/>
  <c r="J12" i="15"/>
  <c r="I12" i="15"/>
  <c r="F12" i="14"/>
  <c r="V12" i="15"/>
  <c r="U12" i="15"/>
  <c r="L12" i="14"/>
  <c r="F12" i="15"/>
  <c r="E12" i="15"/>
  <c r="D12" i="14"/>
  <c r="N12" i="15"/>
  <c r="M12" i="15"/>
  <c r="H12" i="14"/>
  <c r="T11" i="15"/>
  <c r="S11" i="15"/>
  <c r="K11" i="14"/>
  <c r="W11" i="15"/>
  <c r="X11" i="15"/>
  <c r="M11" i="14"/>
  <c r="H13" i="15"/>
  <c r="G13" i="15"/>
  <c r="E13" i="14"/>
  <c r="P11" i="15"/>
  <c r="O11" i="15"/>
  <c r="I11" i="14"/>
  <c r="H14" i="15" l="1"/>
  <c r="G14" i="15"/>
  <c r="E14" i="14"/>
  <c r="W12" i="15"/>
  <c r="X12" i="15"/>
  <c r="M12" i="14"/>
  <c r="AA11" i="15"/>
  <c r="AB11" i="15" s="1"/>
  <c r="F13" i="14"/>
  <c r="J13" i="15"/>
  <c r="I13" i="15"/>
  <c r="V13" i="15"/>
  <c r="U13" i="15"/>
  <c r="L13" i="14"/>
  <c r="O12" i="15"/>
  <c r="P12" i="15"/>
  <c r="I12" i="14"/>
  <c r="Z13" i="15"/>
  <c r="Y13" i="15"/>
  <c r="N13" i="14"/>
  <c r="F13" i="15"/>
  <c r="E13" i="15"/>
  <c r="D13" i="14"/>
  <c r="C12" i="15"/>
  <c r="AA12" i="15" s="1"/>
  <c r="AB12" i="15" s="1"/>
  <c r="O11" i="14"/>
  <c r="P11" i="14" s="1"/>
  <c r="D12" i="15"/>
  <c r="C12" i="14"/>
  <c r="T12" i="15"/>
  <c r="S12" i="15"/>
  <c r="K12" i="14"/>
  <c r="K12" i="15"/>
  <c r="L12" i="15"/>
  <c r="G12" i="14"/>
  <c r="Q12" i="15"/>
  <c r="R12" i="15"/>
  <c r="J12" i="14"/>
  <c r="H13" i="14"/>
  <c r="N13" i="15"/>
  <c r="M13" i="15"/>
  <c r="I14" i="15" l="1"/>
  <c r="J14" i="15"/>
  <c r="F14" i="14"/>
  <c r="E14" i="15"/>
  <c r="F14" i="15"/>
  <c r="D14" i="14"/>
  <c r="Y14" i="15"/>
  <c r="Z14" i="15"/>
  <c r="N14" i="14"/>
  <c r="X13" i="15"/>
  <c r="W13" i="15"/>
  <c r="M13" i="14"/>
  <c r="N14" i="15"/>
  <c r="M14" i="15"/>
  <c r="H14" i="14"/>
  <c r="Q13" i="15"/>
  <c r="R13" i="15"/>
  <c r="J13" i="14"/>
  <c r="L13" i="15"/>
  <c r="K13" i="15"/>
  <c r="G13" i="14"/>
  <c r="T13" i="15"/>
  <c r="S13" i="15"/>
  <c r="K13" i="14"/>
  <c r="P13" i="15"/>
  <c r="O13" i="15"/>
  <c r="I13" i="14"/>
  <c r="G15" i="15"/>
  <c r="H15" i="15"/>
  <c r="E15" i="14"/>
  <c r="O12" i="14"/>
  <c r="P12" i="14" s="1"/>
  <c r="D13" i="15"/>
  <c r="C13" i="15"/>
  <c r="C13" i="14"/>
  <c r="U14" i="15"/>
  <c r="V14" i="15"/>
  <c r="L14" i="14"/>
  <c r="W14" i="15" l="1"/>
  <c r="X14" i="15"/>
  <c r="M14" i="14"/>
  <c r="AA13" i="15"/>
  <c r="AB13" i="15" s="1"/>
  <c r="Y15" i="15"/>
  <c r="Z15" i="15"/>
  <c r="N15" i="14"/>
  <c r="E15" i="15"/>
  <c r="F15" i="15"/>
  <c r="D15" i="14"/>
  <c r="P14" i="15"/>
  <c r="O14" i="15"/>
  <c r="I14" i="14"/>
  <c r="T14" i="15"/>
  <c r="S14" i="15"/>
  <c r="K14" i="14"/>
  <c r="O13" i="14"/>
  <c r="P13" i="14" s="1"/>
  <c r="D14" i="15"/>
  <c r="C14" i="15"/>
  <c r="C14" i="14"/>
  <c r="L14" i="15"/>
  <c r="K14" i="15"/>
  <c r="G14" i="14"/>
  <c r="H16" i="15"/>
  <c r="G16" i="15"/>
  <c r="E16" i="14"/>
  <c r="Q14" i="15"/>
  <c r="R14" i="15"/>
  <c r="J14" i="14"/>
  <c r="M15" i="15"/>
  <c r="H15" i="14"/>
  <c r="N15" i="15"/>
  <c r="I15" i="15"/>
  <c r="J15" i="15"/>
  <c r="F15" i="14"/>
  <c r="V15" i="15"/>
  <c r="U15" i="15"/>
  <c r="L15" i="14"/>
  <c r="AA14" i="15" l="1"/>
  <c r="AB14" i="15" s="1"/>
  <c r="J16" i="15"/>
  <c r="I16" i="15"/>
  <c r="F16" i="14"/>
  <c r="F16" i="15"/>
  <c r="E16" i="15"/>
  <c r="D16" i="14"/>
  <c r="D15" i="15"/>
  <c r="O14" i="14"/>
  <c r="P14" i="14" s="1"/>
  <c r="C15" i="15"/>
  <c r="C15" i="14"/>
  <c r="N16" i="15"/>
  <c r="M16" i="15"/>
  <c r="H16" i="14"/>
  <c r="G17" i="15"/>
  <c r="H17" i="15"/>
  <c r="E17" i="14"/>
  <c r="K15" i="15"/>
  <c r="L15" i="15"/>
  <c r="G15" i="14"/>
  <c r="Z16" i="15"/>
  <c r="Y16" i="15"/>
  <c r="N16" i="14"/>
  <c r="Q15" i="15"/>
  <c r="R15" i="15"/>
  <c r="J15" i="14"/>
  <c r="S15" i="15"/>
  <c r="T15" i="15"/>
  <c r="K15" i="14"/>
  <c r="X15" i="15"/>
  <c r="W15" i="15"/>
  <c r="M15" i="14"/>
  <c r="V16" i="15"/>
  <c r="U16" i="15"/>
  <c r="L16" i="14"/>
  <c r="P15" i="15"/>
  <c r="I15" i="14"/>
  <c r="O15" i="15"/>
  <c r="AA15" i="15" l="1"/>
  <c r="AB15" i="15" s="1"/>
  <c r="X16" i="15"/>
  <c r="W16" i="15"/>
  <c r="M16" i="14"/>
  <c r="Y17" i="15"/>
  <c r="Z17" i="15"/>
  <c r="N17" i="14"/>
  <c r="L16" i="15"/>
  <c r="K16" i="15"/>
  <c r="G16" i="14"/>
  <c r="H18" i="15"/>
  <c r="G18" i="15"/>
  <c r="E18" i="14"/>
  <c r="V17" i="15"/>
  <c r="U17" i="15"/>
  <c r="L17" i="14"/>
  <c r="O15" i="14"/>
  <c r="P15" i="14" s="1"/>
  <c r="C16" i="15"/>
  <c r="D16" i="15"/>
  <c r="C16" i="14"/>
  <c r="E17" i="15"/>
  <c r="F17" i="15"/>
  <c r="D17" i="14"/>
  <c r="S16" i="15"/>
  <c r="T16" i="15"/>
  <c r="K16" i="14"/>
  <c r="J17" i="15"/>
  <c r="I17" i="15"/>
  <c r="F17" i="14"/>
  <c r="Q16" i="15"/>
  <c r="R16" i="15"/>
  <c r="J16" i="14"/>
  <c r="N17" i="15"/>
  <c r="M17" i="15"/>
  <c r="H17" i="14"/>
  <c r="O16" i="15"/>
  <c r="P16" i="15"/>
  <c r="I16" i="14"/>
  <c r="K17" i="15" l="1"/>
  <c r="L17" i="15"/>
  <c r="G17" i="14"/>
  <c r="R17" i="15"/>
  <c r="Q17" i="15"/>
  <c r="J17" i="14"/>
  <c r="Z18" i="15"/>
  <c r="Y18" i="15"/>
  <c r="N18" i="14"/>
  <c r="N18" i="15"/>
  <c r="M18" i="15"/>
  <c r="H18" i="14"/>
  <c r="AA16" i="15"/>
  <c r="AB16" i="15" s="1"/>
  <c r="I18" i="15"/>
  <c r="J18" i="15"/>
  <c r="F18" i="14"/>
  <c r="V18" i="15"/>
  <c r="U18" i="15"/>
  <c r="L18" i="14"/>
  <c r="S17" i="15"/>
  <c r="K17" i="14"/>
  <c r="T17" i="15"/>
  <c r="F18" i="15"/>
  <c r="E18" i="15"/>
  <c r="D18" i="14"/>
  <c r="O16" i="14"/>
  <c r="P16" i="14" s="1"/>
  <c r="C17" i="15"/>
  <c r="D17" i="15"/>
  <c r="C17" i="14"/>
  <c r="W17" i="15"/>
  <c r="X17" i="15"/>
  <c r="M17" i="14"/>
  <c r="P17" i="15"/>
  <c r="O17" i="15"/>
  <c r="I17" i="14"/>
  <c r="H19" i="15"/>
  <c r="G19" i="15"/>
  <c r="E19" i="14"/>
  <c r="N19" i="15" l="1"/>
  <c r="M19" i="15"/>
  <c r="H19" i="14"/>
  <c r="P18" i="15"/>
  <c r="O18" i="15"/>
  <c r="I18" i="14"/>
  <c r="Z19" i="15"/>
  <c r="Y19" i="15"/>
  <c r="N19" i="14"/>
  <c r="V19" i="15"/>
  <c r="U19" i="15"/>
  <c r="L19" i="14"/>
  <c r="R18" i="15"/>
  <c r="Q18" i="15"/>
  <c r="J18" i="14"/>
  <c r="D18" i="15"/>
  <c r="O17" i="14"/>
  <c r="P17" i="14" s="1"/>
  <c r="C18" i="15"/>
  <c r="C18" i="14"/>
  <c r="J19" i="15"/>
  <c r="I19" i="15"/>
  <c r="F19" i="14"/>
  <c r="T18" i="15"/>
  <c r="S18" i="15"/>
  <c r="K18" i="14"/>
  <c r="X18" i="15"/>
  <c r="W18" i="15"/>
  <c r="M18" i="14"/>
  <c r="AA17" i="15"/>
  <c r="AB17" i="15" s="1"/>
  <c r="K18" i="15"/>
  <c r="L18" i="15"/>
  <c r="G18" i="14"/>
  <c r="H20" i="15"/>
  <c r="G20" i="15"/>
  <c r="E20" i="14"/>
  <c r="F19" i="15"/>
  <c r="E19" i="15"/>
  <c r="D19" i="14"/>
  <c r="U20" i="15" l="1"/>
  <c r="V20" i="15"/>
  <c r="L20" i="14"/>
  <c r="H21" i="15"/>
  <c r="G21" i="15"/>
  <c r="E21" i="14"/>
  <c r="I20" i="15"/>
  <c r="J20" i="15"/>
  <c r="F20" i="14"/>
  <c r="Y20" i="15"/>
  <c r="Z20" i="15"/>
  <c r="N20" i="14"/>
  <c r="L19" i="15"/>
  <c r="K19" i="15"/>
  <c r="G19" i="14"/>
  <c r="D19" i="15"/>
  <c r="C19" i="15"/>
  <c r="O18" i="14"/>
  <c r="P18" i="14" s="1"/>
  <c r="C19" i="14"/>
  <c r="AA18" i="15"/>
  <c r="AB18" i="15" s="1"/>
  <c r="P19" i="15"/>
  <c r="O19" i="15"/>
  <c r="I19" i="14"/>
  <c r="X19" i="15"/>
  <c r="W19" i="15"/>
  <c r="M19" i="14"/>
  <c r="Q19" i="15"/>
  <c r="R19" i="15"/>
  <c r="J19" i="14"/>
  <c r="M20" i="15"/>
  <c r="N20" i="15"/>
  <c r="H20" i="14"/>
  <c r="F20" i="15"/>
  <c r="E20" i="15"/>
  <c r="D20" i="14"/>
  <c r="K19" i="14"/>
  <c r="T19" i="15"/>
  <c r="S19" i="15"/>
  <c r="S20" i="15" l="1"/>
  <c r="K20" i="14"/>
  <c r="T20" i="15"/>
  <c r="Y21" i="15"/>
  <c r="Z21" i="15"/>
  <c r="N21" i="14"/>
  <c r="F21" i="15"/>
  <c r="E21" i="15"/>
  <c r="D21" i="14"/>
  <c r="P20" i="15"/>
  <c r="O20" i="15"/>
  <c r="I20" i="14"/>
  <c r="J21" i="15"/>
  <c r="I21" i="15"/>
  <c r="F21" i="14"/>
  <c r="N21" i="15"/>
  <c r="M21" i="15"/>
  <c r="H21" i="14"/>
  <c r="O19" i="14"/>
  <c r="P19" i="14" s="1"/>
  <c r="D20" i="15"/>
  <c r="C20" i="15"/>
  <c r="C20" i="14"/>
  <c r="G22" i="15"/>
  <c r="H22" i="15"/>
  <c r="E22" i="14"/>
  <c r="Q20" i="15"/>
  <c r="R20" i="15"/>
  <c r="J20" i="14"/>
  <c r="AA19" i="15"/>
  <c r="AB19" i="15" s="1"/>
  <c r="L20" i="15"/>
  <c r="K20" i="15"/>
  <c r="G20" i="14"/>
  <c r="V21" i="15"/>
  <c r="U21" i="15"/>
  <c r="L21" i="14"/>
  <c r="X20" i="15"/>
  <c r="W20" i="15"/>
  <c r="M20" i="14"/>
  <c r="P21" i="15" l="1"/>
  <c r="O21" i="15"/>
  <c r="I21" i="14"/>
  <c r="AA20" i="15"/>
  <c r="AB20" i="15" s="1"/>
  <c r="K21" i="15"/>
  <c r="G21" i="14"/>
  <c r="L21" i="15"/>
  <c r="Z22" i="15"/>
  <c r="Y22" i="15"/>
  <c r="N22" i="14"/>
  <c r="U22" i="15"/>
  <c r="V22" i="15"/>
  <c r="L22" i="14"/>
  <c r="O20" i="14"/>
  <c r="P20" i="14" s="1"/>
  <c r="D21" i="15"/>
  <c r="C21" i="15"/>
  <c r="C21" i="14"/>
  <c r="F22" i="15"/>
  <c r="E22" i="15"/>
  <c r="D22" i="14"/>
  <c r="M22" i="15"/>
  <c r="N22" i="15"/>
  <c r="H22" i="14"/>
  <c r="R21" i="15"/>
  <c r="Q21" i="15"/>
  <c r="J21" i="14"/>
  <c r="I22" i="15"/>
  <c r="J22" i="15"/>
  <c r="F22" i="14"/>
  <c r="W21" i="15"/>
  <c r="X21" i="15"/>
  <c r="M21" i="14"/>
  <c r="K21" i="14"/>
  <c r="T21" i="15"/>
  <c r="S21" i="15"/>
  <c r="H23" i="15"/>
  <c r="G23" i="15"/>
  <c r="E23" i="14"/>
  <c r="H23" i="14" l="1"/>
  <c r="N23" i="15"/>
  <c r="M23" i="15"/>
  <c r="S22" i="15"/>
  <c r="T22" i="15"/>
  <c r="K22" i="14"/>
  <c r="C22" i="15"/>
  <c r="D22" i="15"/>
  <c r="O21" i="14"/>
  <c r="P21" i="14" s="1"/>
  <c r="C22" i="14"/>
  <c r="F23" i="15"/>
  <c r="E23" i="15"/>
  <c r="D23" i="14"/>
  <c r="Y23" i="15"/>
  <c r="Z23" i="15"/>
  <c r="N23" i="14"/>
  <c r="X22" i="15"/>
  <c r="W22" i="15"/>
  <c r="M22" i="14"/>
  <c r="L22" i="15"/>
  <c r="K22" i="15"/>
  <c r="G22" i="14"/>
  <c r="J23" i="15"/>
  <c r="I23" i="15"/>
  <c r="F23" i="14"/>
  <c r="AA21" i="15"/>
  <c r="AB21" i="15" s="1"/>
  <c r="O22" i="15"/>
  <c r="P22" i="15"/>
  <c r="I22" i="14"/>
  <c r="G24" i="15"/>
  <c r="H24" i="15"/>
  <c r="E24" i="14"/>
  <c r="R22" i="15"/>
  <c r="Q22" i="15"/>
  <c r="J22" i="14"/>
  <c r="V23" i="15"/>
  <c r="U23" i="15"/>
  <c r="L23" i="14"/>
  <c r="L23" i="15" l="1"/>
  <c r="K23" i="15"/>
  <c r="G23" i="14"/>
  <c r="X23" i="15"/>
  <c r="W23" i="15"/>
  <c r="M23" i="14"/>
  <c r="H25" i="15"/>
  <c r="G25" i="15"/>
  <c r="E25" i="14"/>
  <c r="R23" i="15"/>
  <c r="Q23" i="15"/>
  <c r="J23" i="14"/>
  <c r="D23" i="15"/>
  <c r="C23" i="15"/>
  <c r="O22" i="14"/>
  <c r="P22" i="14" s="1"/>
  <c r="C23" i="14"/>
  <c r="AA22" i="15"/>
  <c r="AB22" i="15" s="1"/>
  <c r="S23" i="15"/>
  <c r="T23" i="15"/>
  <c r="K23" i="14"/>
  <c r="P23" i="15"/>
  <c r="O23" i="15"/>
  <c r="I23" i="14"/>
  <c r="Y24" i="15"/>
  <c r="N24" i="14"/>
  <c r="Z24" i="15"/>
  <c r="U24" i="15"/>
  <c r="V24" i="15"/>
  <c r="L24" i="14"/>
  <c r="I24" i="15"/>
  <c r="J24" i="15"/>
  <c r="F24" i="14"/>
  <c r="F24" i="15"/>
  <c r="E24" i="15"/>
  <c r="D24" i="14"/>
  <c r="M24" i="15"/>
  <c r="H24" i="14"/>
  <c r="N24" i="15"/>
  <c r="R24" i="15" l="1"/>
  <c r="Q24" i="15"/>
  <c r="J24" i="14"/>
  <c r="T24" i="15"/>
  <c r="S24" i="15"/>
  <c r="K24" i="14"/>
  <c r="F25" i="15"/>
  <c r="E25" i="15"/>
  <c r="D25" i="14"/>
  <c r="V25" i="15"/>
  <c r="U25" i="15"/>
  <c r="L25" i="14"/>
  <c r="P24" i="15"/>
  <c r="O24" i="15"/>
  <c r="I24" i="14"/>
  <c r="G26" i="15"/>
  <c r="H26" i="15"/>
  <c r="E26" i="14"/>
  <c r="J25" i="15"/>
  <c r="I25" i="15"/>
  <c r="F25" i="14"/>
  <c r="X24" i="15"/>
  <c r="W24" i="15"/>
  <c r="M24" i="14"/>
  <c r="O23" i="14"/>
  <c r="P23" i="14" s="1"/>
  <c r="D24" i="15"/>
  <c r="C24" i="15"/>
  <c r="C24" i="14"/>
  <c r="L24" i="15"/>
  <c r="K24" i="15"/>
  <c r="G24" i="14"/>
  <c r="AA23" i="15"/>
  <c r="AB23" i="15" s="1"/>
  <c r="M25" i="15"/>
  <c r="N25" i="15"/>
  <c r="H25" i="14"/>
  <c r="Z25" i="15"/>
  <c r="Y25" i="15"/>
  <c r="N25" i="14"/>
  <c r="W25" i="15" l="1"/>
  <c r="X25" i="15"/>
  <c r="M25" i="14"/>
  <c r="I26" i="15"/>
  <c r="J26" i="15"/>
  <c r="F26" i="14"/>
  <c r="L25" i="15"/>
  <c r="K25" i="15"/>
  <c r="G25" i="14"/>
  <c r="N26" i="15"/>
  <c r="M26" i="15"/>
  <c r="H26" i="14"/>
  <c r="V26" i="15"/>
  <c r="U26" i="15"/>
  <c r="L26" i="14"/>
  <c r="F26" i="15"/>
  <c r="E26" i="15"/>
  <c r="D26" i="14"/>
  <c r="G27" i="15"/>
  <c r="H27" i="15"/>
  <c r="E27" i="14"/>
  <c r="T25" i="15"/>
  <c r="S25" i="15"/>
  <c r="K25" i="14"/>
  <c r="O24" i="14"/>
  <c r="P24" i="14" s="1"/>
  <c r="D25" i="15"/>
  <c r="C25" i="15"/>
  <c r="C25" i="14"/>
  <c r="AA24" i="15"/>
  <c r="AB24" i="15" s="1"/>
  <c r="O25" i="15"/>
  <c r="P25" i="15"/>
  <c r="I25" i="14"/>
  <c r="R25" i="15"/>
  <c r="Q25" i="15"/>
  <c r="J25" i="14"/>
  <c r="Z26" i="15"/>
  <c r="Y26" i="15"/>
  <c r="N26" i="14"/>
  <c r="S26" i="15" l="1"/>
  <c r="K26" i="14"/>
  <c r="T26" i="15"/>
  <c r="J27" i="15"/>
  <c r="I27" i="15"/>
  <c r="F27" i="14"/>
  <c r="H28" i="15"/>
  <c r="G28" i="15"/>
  <c r="E28" i="14"/>
  <c r="N27" i="15"/>
  <c r="M27" i="15"/>
  <c r="H27" i="14"/>
  <c r="R26" i="15"/>
  <c r="Q26" i="15"/>
  <c r="J26" i="14"/>
  <c r="L26" i="15"/>
  <c r="K26" i="15"/>
  <c r="G26" i="14"/>
  <c r="O26" i="15"/>
  <c r="P26" i="15"/>
  <c r="I26" i="14"/>
  <c r="F27" i="15"/>
  <c r="E27" i="15"/>
  <c r="D27" i="14"/>
  <c r="C26" i="15"/>
  <c r="D26" i="15"/>
  <c r="O25" i="14"/>
  <c r="P25" i="14" s="1"/>
  <c r="C26" i="14"/>
  <c r="AA25" i="15"/>
  <c r="AB25" i="15" s="1"/>
  <c r="V27" i="15"/>
  <c r="U27" i="15"/>
  <c r="L27" i="14"/>
  <c r="X26" i="15"/>
  <c r="W26" i="15"/>
  <c r="M26" i="14"/>
  <c r="Y27" i="15"/>
  <c r="Z27" i="15"/>
  <c r="N27" i="14"/>
  <c r="X27" i="15" l="1"/>
  <c r="W27" i="15"/>
  <c r="M27" i="14"/>
  <c r="P27" i="15"/>
  <c r="O27" i="15"/>
  <c r="I27" i="14"/>
  <c r="I28" i="15"/>
  <c r="J28" i="15"/>
  <c r="F28" i="14"/>
  <c r="F28" i="15"/>
  <c r="E28" i="15"/>
  <c r="D28" i="14"/>
  <c r="U28" i="15"/>
  <c r="V28" i="15"/>
  <c r="L28" i="14"/>
  <c r="D27" i="15"/>
  <c r="C27" i="15"/>
  <c r="O26" i="14"/>
  <c r="P26" i="14" s="1"/>
  <c r="C27" i="14"/>
  <c r="T27" i="15"/>
  <c r="K27" i="14"/>
  <c r="S27" i="15"/>
  <c r="M28" i="15"/>
  <c r="H28" i="14"/>
  <c r="N28" i="15"/>
  <c r="H29" i="15"/>
  <c r="G29" i="15"/>
  <c r="E29" i="14"/>
  <c r="L27" i="15"/>
  <c r="K27" i="15"/>
  <c r="G27" i="14"/>
  <c r="R27" i="15"/>
  <c r="Q27" i="15"/>
  <c r="J27" i="14"/>
  <c r="Y28" i="15"/>
  <c r="Z28" i="15"/>
  <c r="N28" i="14"/>
  <c r="AA26" i="15"/>
  <c r="AB26" i="15" s="1"/>
  <c r="F29" i="15" l="1"/>
  <c r="E29" i="15"/>
  <c r="D29" i="14"/>
  <c r="O27" i="14"/>
  <c r="P27" i="14" s="1"/>
  <c r="D28" i="15"/>
  <c r="C28" i="15"/>
  <c r="C28" i="14"/>
  <c r="N29" i="15"/>
  <c r="M29" i="15"/>
  <c r="H29" i="14"/>
  <c r="S28" i="15"/>
  <c r="T28" i="15"/>
  <c r="K28" i="14"/>
  <c r="AA27" i="15"/>
  <c r="AB27" i="15" s="1"/>
  <c r="R28" i="15"/>
  <c r="Q28" i="15"/>
  <c r="J28" i="14"/>
  <c r="J29" i="15"/>
  <c r="I29" i="15"/>
  <c r="F29" i="14"/>
  <c r="L28" i="15"/>
  <c r="K28" i="15"/>
  <c r="G28" i="14"/>
  <c r="P28" i="15"/>
  <c r="I28" i="14"/>
  <c r="O28" i="15"/>
  <c r="G30" i="15"/>
  <c r="H30" i="15"/>
  <c r="E30" i="14"/>
  <c r="V29" i="15"/>
  <c r="U29" i="15"/>
  <c r="L29" i="14"/>
  <c r="X28" i="15"/>
  <c r="W28" i="15"/>
  <c r="M28" i="14"/>
  <c r="Z29" i="15"/>
  <c r="Y29" i="15"/>
  <c r="N29" i="14"/>
  <c r="N30" i="15" l="1"/>
  <c r="M30" i="15"/>
  <c r="H30" i="14"/>
  <c r="L29" i="15"/>
  <c r="K29" i="15"/>
  <c r="G29" i="14"/>
  <c r="I30" i="15"/>
  <c r="J30" i="15"/>
  <c r="F30" i="14"/>
  <c r="O28" i="14"/>
  <c r="P28" i="14" s="1"/>
  <c r="D29" i="15"/>
  <c r="C29" i="15"/>
  <c r="C29" i="14"/>
  <c r="R29" i="15"/>
  <c r="Q29" i="15"/>
  <c r="J29" i="14"/>
  <c r="X29" i="15"/>
  <c r="W29" i="15"/>
  <c r="M29" i="14"/>
  <c r="V30" i="15"/>
  <c r="U30" i="15"/>
  <c r="L30" i="14"/>
  <c r="AA28" i="15"/>
  <c r="AB28" i="15" s="1"/>
  <c r="H31" i="15"/>
  <c r="G31" i="15"/>
  <c r="F30" i="15"/>
  <c r="E30" i="15"/>
  <c r="D30" i="14"/>
  <c r="Z30" i="15"/>
  <c r="Y30" i="15"/>
  <c r="N30" i="14"/>
  <c r="P29" i="15"/>
  <c r="O29" i="15"/>
  <c r="I29" i="14"/>
  <c r="T29" i="15"/>
  <c r="S29" i="15"/>
  <c r="K29" i="14"/>
  <c r="AA29" i="15" l="1"/>
  <c r="AB29" i="15" s="1"/>
  <c r="U31" i="15"/>
  <c r="V31" i="15"/>
  <c r="Z31" i="15"/>
  <c r="Y31" i="15"/>
  <c r="O30" i="15"/>
  <c r="P30" i="15"/>
  <c r="I30" i="14"/>
  <c r="X30" i="15"/>
  <c r="W30" i="15"/>
  <c r="M30" i="14"/>
  <c r="F31" i="15"/>
  <c r="E31" i="15"/>
  <c r="J31" i="15"/>
  <c r="I31" i="15"/>
  <c r="L30" i="15"/>
  <c r="G30" i="14"/>
  <c r="K30" i="15"/>
  <c r="R30" i="15"/>
  <c r="Q30" i="15"/>
  <c r="J30" i="14"/>
  <c r="N31" i="15"/>
  <c r="M31" i="15"/>
  <c r="S30" i="15"/>
  <c r="T30" i="15"/>
  <c r="K30" i="14"/>
  <c r="C30" i="15"/>
  <c r="D30" i="15"/>
  <c r="O29" i="14"/>
  <c r="P29" i="14" s="1"/>
  <c r="C30" i="14"/>
  <c r="X31" i="15" l="1"/>
  <c r="W31" i="15"/>
  <c r="R31" i="15"/>
  <c r="Q31" i="15"/>
  <c r="P31" i="15"/>
  <c r="O31" i="15"/>
  <c r="D31" i="15"/>
  <c r="C31" i="15"/>
  <c r="O30" i="14"/>
  <c r="P30" i="14" s="1"/>
  <c r="L31" i="15"/>
  <c r="K31" i="15"/>
  <c r="AA30" i="15"/>
  <c r="AB30" i="15" s="1"/>
  <c r="T31" i="15"/>
  <c r="S31" i="15"/>
  <c r="AA31" i="15" l="1"/>
  <c r="AB31" i="15" s="1"/>
  <c r="N34" i="13" l="1"/>
  <c r="M34" i="13"/>
  <c r="B34" i="13"/>
  <c r="D33" i="13"/>
  <c r="C33" i="13"/>
  <c r="N29" i="13"/>
  <c r="L29" i="13"/>
  <c r="F23" i="13"/>
  <c r="D23" i="13"/>
  <c r="O18" i="13"/>
  <c r="N23" i="13"/>
  <c r="O17" i="13"/>
  <c r="B23" i="13"/>
  <c r="E23" i="13"/>
  <c r="G23" i="13"/>
  <c r="L34" i="13"/>
  <c r="K34" i="13"/>
  <c r="G34" i="13"/>
  <c r="F34" i="13"/>
  <c r="E34" i="13"/>
  <c r="D34" i="13"/>
  <c r="C34" i="13"/>
  <c r="N33" i="13"/>
  <c r="M33" i="13"/>
  <c r="H33" i="13"/>
  <c r="G33" i="13"/>
  <c r="F33" i="13"/>
  <c r="E33" i="13"/>
  <c r="O7" i="13"/>
  <c r="B33" i="13"/>
  <c r="J32" i="13"/>
  <c r="I32" i="13"/>
  <c r="H32" i="13"/>
  <c r="G32" i="13"/>
  <c r="F32" i="13"/>
  <c r="E32" i="13"/>
  <c r="D32" i="13"/>
  <c r="C32" i="13"/>
  <c r="L31" i="13"/>
  <c r="K31" i="13"/>
  <c r="J31" i="13"/>
  <c r="I31" i="13"/>
  <c r="H31" i="13"/>
  <c r="G31" i="13"/>
  <c r="F31" i="13"/>
  <c r="E31" i="13"/>
  <c r="N30" i="13"/>
  <c r="M30" i="13"/>
  <c r="L30" i="13"/>
  <c r="K30" i="13"/>
  <c r="J10" i="13"/>
  <c r="I10" i="13"/>
  <c r="H30" i="13"/>
  <c r="G30" i="13"/>
  <c r="M29" i="13"/>
  <c r="K29" i="13"/>
  <c r="J29" i="13"/>
  <c r="I29" i="13"/>
  <c r="D29" i="13"/>
  <c r="C29" i="13"/>
  <c r="N10" i="13"/>
  <c r="M10" i="13"/>
  <c r="L28" i="13"/>
  <c r="K28" i="13"/>
  <c r="B10" i="13"/>
  <c r="O8" i="13" l="1"/>
  <c r="I30" i="13"/>
  <c r="C10" i="13"/>
  <c r="O2" i="13"/>
  <c r="I33" i="13"/>
  <c r="H23" i="13"/>
  <c r="B28" i="13"/>
  <c r="J30" i="13"/>
  <c r="O3" i="13"/>
  <c r="K32" i="13"/>
  <c r="H34" i="13"/>
  <c r="O20" i="13"/>
  <c r="C28" i="13"/>
  <c r="O4" i="13"/>
  <c r="M31" i="13"/>
  <c r="L32" i="13"/>
  <c r="I34" i="13"/>
  <c r="O21" i="13"/>
  <c r="F10" i="13"/>
  <c r="C30" i="13"/>
  <c r="N31" i="13"/>
  <c r="M32" i="13"/>
  <c r="L33" i="13"/>
  <c r="K23" i="13"/>
  <c r="M28" i="13"/>
  <c r="E29" i="13"/>
  <c r="C31" i="13"/>
  <c r="N32" i="13"/>
  <c r="L23" i="13"/>
  <c r="F29" i="13"/>
  <c r="D31" i="13"/>
  <c r="L10" i="13"/>
  <c r="I28" i="13"/>
  <c r="F30" i="13"/>
  <c r="B29" i="13"/>
  <c r="O19" i="13"/>
  <c r="D10" i="13"/>
  <c r="J33" i="13"/>
  <c r="I23" i="13"/>
  <c r="E10" i="13"/>
  <c r="K33" i="13"/>
  <c r="J23" i="13"/>
  <c r="D28" i="13"/>
  <c r="O5" i="13"/>
  <c r="J34" i="13"/>
  <c r="D30" i="13"/>
  <c r="B32" i="13"/>
  <c r="K10" i="13"/>
  <c r="N28" i="13"/>
  <c r="E30" i="13"/>
  <c r="G29" i="13"/>
  <c r="J28" i="13"/>
  <c r="H29" i="13"/>
  <c r="M23" i="13"/>
  <c r="C23" i="13"/>
  <c r="E28" i="13"/>
  <c r="F28" i="13"/>
  <c r="B30" i="13"/>
  <c r="G28" i="13"/>
  <c r="H28" i="13"/>
  <c r="B31" i="13"/>
  <c r="O15" i="13"/>
  <c r="O6" i="13"/>
  <c r="G10" i="13"/>
  <c r="O16" i="13"/>
  <c r="H10" i="13"/>
  <c r="K35" i="13" l="1"/>
  <c r="O34" i="13"/>
  <c r="O33" i="13"/>
  <c r="L35" i="13"/>
  <c r="G36" i="13"/>
  <c r="G35" i="13"/>
  <c r="F36" i="13"/>
  <c r="F35" i="13"/>
  <c r="E36" i="13"/>
  <c r="E35" i="13"/>
  <c r="D36" i="13"/>
  <c r="D35" i="13"/>
  <c r="J35" i="13"/>
  <c r="J36" i="13"/>
  <c r="O29" i="13"/>
  <c r="O30" i="13"/>
  <c r="M36" i="13"/>
  <c r="M35" i="13"/>
  <c r="O9" i="13"/>
  <c r="O10" i="13" s="1"/>
  <c r="N36" i="13"/>
  <c r="N35" i="13"/>
  <c r="C36" i="13"/>
  <c r="C35" i="13"/>
  <c r="I35" i="13"/>
  <c r="I36" i="13"/>
  <c r="O32" i="13"/>
  <c r="O22" i="13"/>
  <c r="O23" i="13" s="1"/>
  <c r="O31" i="13"/>
  <c r="L36" i="13"/>
  <c r="H36" i="13"/>
  <c r="H35" i="13"/>
  <c r="K36" i="13"/>
  <c r="B36" i="13"/>
  <c r="B35" i="13"/>
  <c r="O28" i="13"/>
  <c r="O35" i="13" l="1"/>
  <c r="O36" i="13" s="1"/>
  <c r="B38" i="13"/>
  <c r="C13" i="11"/>
  <c r="C12" i="11"/>
  <c r="C11" i="11"/>
  <c r="C10" i="11"/>
  <c r="C9" i="11"/>
  <c r="C8" i="11"/>
  <c r="C7" i="11"/>
  <c r="C6" i="11"/>
  <c r="C5" i="11"/>
  <c r="C4" i="11"/>
  <c r="C3" i="11"/>
  <c r="C2" i="11"/>
  <c r="O11" i="9" l="1"/>
  <c r="O12" i="9"/>
  <c r="O13" i="9"/>
  <c r="B18" i="9"/>
  <c r="C18" i="9"/>
  <c r="D18" i="9"/>
  <c r="E18" i="9"/>
  <c r="F18" i="9"/>
  <c r="G18" i="9"/>
  <c r="H18" i="9"/>
  <c r="I18" i="9"/>
  <c r="J18" i="9"/>
  <c r="K18" i="9"/>
  <c r="L18" i="9"/>
  <c r="M18" i="9"/>
  <c r="B19" i="9"/>
  <c r="C19" i="9"/>
  <c r="D19" i="9"/>
  <c r="E19" i="9"/>
  <c r="F19" i="9"/>
  <c r="G19" i="9"/>
  <c r="H19" i="9"/>
  <c r="I19" i="9"/>
  <c r="J19" i="9"/>
  <c r="K19" i="9"/>
  <c r="L19" i="9"/>
  <c r="M19" i="9"/>
  <c r="B20" i="9"/>
  <c r="C20" i="9"/>
  <c r="D20" i="9"/>
  <c r="E20" i="9"/>
  <c r="F20" i="9"/>
  <c r="G20" i="9"/>
  <c r="H20" i="9"/>
  <c r="I20" i="9"/>
  <c r="J20" i="9"/>
  <c r="K20" i="9"/>
  <c r="L20" i="9"/>
  <c r="M20" i="9"/>
  <c r="C17" i="9"/>
  <c r="D17" i="9"/>
  <c r="E17" i="9"/>
  <c r="F17" i="9"/>
  <c r="G17" i="9"/>
  <c r="H17" i="9"/>
  <c r="I17" i="9"/>
  <c r="J17" i="9"/>
  <c r="K17" i="9"/>
  <c r="L17" i="9"/>
  <c r="M17" i="9"/>
  <c r="B17" i="9"/>
  <c r="O3" i="9"/>
  <c r="O4" i="9"/>
  <c r="O5" i="9"/>
  <c r="O10" i="9"/>
  <c r="O2" i="9"/>
  <c r="B22" i="5"/>
  <c r="C24" i="5"/>
  <c r="H34" i="5"/>
  <c r="L34" i="5"/>
  <c r="N21" i="5"/>
  <c r="K32" i="5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N34" i="5"/>
  <c r="M34" i="5"/>
  <c r="K34" i="5"/>
  <c r="J34" i="5"/>
  <c r="I34" i="5"/>
  <c r="G34" i="5"/>
  <c r="F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N32" i="5"/>
  <c r="M32" i="5"/>
  <c r="L32" i="5"/>
  <c r="J32" i="5"/>
  <c r="I32" i="5"/>
  <c r="H32" i="5"/>
  <c r="G32" i="5"/>
  <c r="E32" i="5"/>
  <c r="D32" i="5"/>
  <c r="C32" i="5"/>
  <c r="N31" i="5"/>
  <c r="M31" i="5"/>
  <c r="L31" i="5"/>
  <c r="K31" i="5"/>
  <c r="J31" i="5"/>
  <c r="I31" i="5"/>
  <c r="H31" i="5"/>
  <c r="F31" i="5"/>
  <c r="E31" i="5"/>
  <c r="D31" i="5"/>
  <c r="C31" i="5"/>
  <c r="B31" i="5"/>
  <c r="N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N27" i="5"/>
  <c r="M27" i="5"/>
  <c r="L27" i="5"/>
  <c r="K27" i="5"/>
  <c r="J27" i="5"/>
  <c r="I27" i="5"/>
  <c r="H27" i="5"/>
  <c r="G27" i="5"/>
  <c r="F27" i="5"/>
  <c r="E27" i="5"/>
  <c r="D27" i="5"/>
  <c r="B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N24" i="5"/>
  <c r="M24" i="5"/>
  <c r="L24" i="5"/>
  <c r="K24" i="5"/>
  <c r="J24" i="5"/>
  <c r="I24" i="5"/>
  <c r="H24" i="5"/>
  <c r="G24" i="5"/>
  <c r="F24" i="5"/>
  <c r="E24" i="5"/>
  <c r="D24" i="5"/>
  <c r="B24" i="5"/>
  <c r="N23" i="5"/>
  <c r="M23" i="5"/>
  <c r="K23" i="5"/>
  <c r="J23" i="5"/>
  <c r="I23" i="5"/>
  <c r="H23" i="5"/>
  <c r="F23" i="5"/>
  <c r="E23" i="5"/>
  <c r="D23" i="5"/>
  <c r="C23" i="5"/>
  <c r="B23" i="5"/>
  <c r="N22" i="5"/>
  <c r="M22" i="5"/>
  <c r="K22" i="5"/>
  <c r="J22" i="5"/>
  <c r="I22" i="5"/>
  <c r="H22" i="5"/>
  <c r="G22" i="5"/>
  <c r="F22" i="5"/>
  <c r="D22" i="5"/>
  <c r="C22" i="5"/>
  <c r="L21" i="5"/>
  <c r="K21" i="5"/>
  <c r="J21" i="5"/>
  <c r="H21" i="5"/>
  <c r="G21" i="5"/>
  <c r="F21" i="5"/>
  <c r="E21" i="5"/>
  <c r="D21" i="5"/>
  <c r="N20" i="5"/>
  <c r="M20" i="5"/>
  <c r="L20" i="5"/>
  <c r="J20" i="5"/>
  <c r="I20" i="5"/>
  <c r="H20" i="5"/>
  <c r="G20" i="5"/>
  <c r="F20" i="5"/>
  <c r="E20" i="5"/>
  <c r="D20" i="5"/>
  <c r="B20" i="5"/>
  <c r="N19" i="5"/>
  <c r="M19" i="5"/>
  <c r="L19" i="5"/>
  <c r="K19" i="5"/>
  <c r="J19" i="5"/>
  <c r="I19" i="5"/>
  <c r="H19" i="5"/>
  <c r="F19" i="5"/>
  <c r="E19" i="5"/>
  <c r="D19" i="5"/>
  <c r="C19" i="5"/>
  <c r="B19" i="5"/>
  <c r="N18" i="5"/>
  <c r="M18" i="5"/>
  <c r="L18" i="5"/>
  <c r="K18" i="5"/>
  <c r="J18" i="5"/>
  <c r="I18" i="5"/>
  <c r="G18" i="5"/>
  <c r="F18" i="5"/>
  <c r="E18" i="5"/>
  <c r="C18" i="5"/>
  <c r="B18" i="5"/>
  <c r="N17" i="5"/>
  <c r="L17" i="5"/>
  <c r="K17" i="5"/>
  <c r="I17" i="5"/>
  <c r="H17" i="5"/>
  <c r="G17" i="5"/>
  <c r="E17" i="5"/>
  <c r="D17" i="5"/>
  <c r="N16" i="5"/>
  <c r="M16" i="5"/>
  <c r="L16" i="5"/>
  <c r="J16" i="5"/>
  <c r="I16" i="5"/>
  <c r="H16" i="5"/>
  <c r="G16" i="5"/>
  <c r="F16" i="5"/>
  <c r="E16" i="5"/>
  <c r="D16" i="5"/>
  <c r="C16" i="5"/>
  <c r="B16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M12" i="5"/>
  <c r="L12" i="5"/>
  <c r="K12" i="5"/>
  <c r="I12" i="5"/>
  <c r="H12" i="5"/>
  <c r="G12" i="5"/>
  <c r="F12" i="5"/>
  <c r="D12" i="5"/>
  <c r="C12" i="5"/>
  <c r="B12" i="5"/>
  <c r="N11" i="5"/>
  <c r="M11" i="5"/>
  <c r="J11" i="5"/>
  <c r="I11" i="5"/>
  <c r="G11" i="5"/>
  <c r="F11" i="5"/>
  <c r="E11" i="5"/>
  <c r="D11" i="5"/>
  <c r="C11" i="5"/>
  <c r="B11" i="5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E35" i="2" l="1"/>
  <c r="J35" i="2"/>
  <c r="O31" i="2"/>
  <c r="J35" i="3"/>
  <c r="J35" i="4"/>
  <c r="E35" i="6"/>
  <c r="O14" i="6"/>
  <c r="O26" i="6"/>
  <c r="E35" i="7"/>
  <c r="O26" i="7"/>
  <c r="J35" i="1"/>
  <c r="K35" i="1"/>
  <c r="O20" i="1"/>
  <c r="O19" i="4"/>
  <c r="O21" i="4"/>
  <c r="O16" i="6"/>
  <c r="O27" i="6"/>
  <c r="N35" i="2"/>
  <c r="O30" i="7"/>
  <c r="C35" i="2"/>
  <c r="O33" i="7"/>
  <c r="O14" i="7"/>
  <c r="O32" i="1"/>
  <c r="O20" i="2"/>
  <c r="K35" i="3"/>
  <c r="O20" i="3"/>
  <c r="O31" i="3"/>
  <c r="K35" i="4"/>
  <c r="O31" i="4"/>
  <c r="O14" i="5"/>
  <c r="F35" i="7"/>
  <c r="L35" i="1"/>
  <c r="O33" i="1"/>
  <c r="L35" i="2"/>
  <c r="O33" i="3"/>
  <c r="O33" i="4"/>
  <c r="G35" i="6"/>
  <c r="O15" i="6"/>
  <c r="G35" i="7"/>
  <c r="O16" i="7"/>
  <c r="O27" i="7"/>
  <c r="M35" i="1"/>
  <c r="M35" i="2"/>
  <c r="O22" i="2"/>
  <c r="M35" i="3"/>
  <c r="O22" i="3"/>
  <c r="O34" i="4"/>
  <c r="H35" i="6"/>
  <c r="O17" i="6"/>
  <c r="O29" i="6"/>
  <c r="H35" i="7"/>
  <c r="O17" i="7"/>
  <c r="O29" i="7"/>
  <c r="B35" i="1"/>
  <c r="B35" i="2"/>
  <c r="O23" i="2"/>
  <c r="B35" i="3"/>
  <c r="B35" i="4"/>
  <c r="O19" i="2"/>
  <c r="O19" i="1"/>
  <c r="O31" i="1"/>
  <c r="K35" i="2"/>
  <c r="O32" i="2"/>
  <c r="O19" i="3"/>
  <c r="O32" i="3"/>
  <c r="O20" i="4"/>
  <c r="O32" i="4"/>
  <c r="F35" i="6"/>
  <c r="O21" i="1"/>
  <c r="O21" i="2"/>
  <c r="O33" i="2"/>
  <c r="L35" i="3"/>
  <c r="O21" i="3"/>
  <c r="L35" i="4"/>
  <c r="O28" i="6"/>
  <c r="O15" i="7"/>
  <c r="O28" i="7"/>
  <c r="O22" i="1"/>
  <c r="O34" i="1"/>
  <c r="O34" i="2"/>
  <c r="O34" i="3"/>
  <c r="M35" i="4"/>
  <c r="O22" i="4"/>
  <c r="N35" i="1"/>
  <c r="N35" i="3"/>
  <c r="N35" i="4"/>
  <c r="I35" i="6"/>
  <c r="O18" i="6"/>
  <c r="O30" i="6"/>
  <c r="I35" i="7"/>
  <c r="O18" i="7"/>
  <c r="C35" i="1"/>
  <c r="O12" i="1"/>
  <c r="O23" i="1"/>
  <c r="O24" i="1"/>
  <c r="O12" i="2"/>
  <c r="O24" i="2"/>
  <c r="C35" i="3"/>
  <c r="O12" i="3"/>
  <c r="O23" i="3"/>
  <c r="O24" i="3"/>
  <c r="C35" i="4"/>
  <c r="O12" i="4"/>
  <c r="O23" i="4"/>
  <c r="O24" i="4"/>
  <c r="J35" i="6"/>
  <c r="J35" i="7"/>
  <c r="D35" i="1"/>
  <c r="O13" i="1"/>
  <c r="O25" i="1"/>
  <c r="D35" i="2"/>
  <c r="O13" i="2"/>
  <c r="O25" i="2"/>
  <c r="D35" i="3"/>
  <c r="O13" i="3"/>
  <c r="O25" i="3"/>
  <c r="D35" i="4"/>
  <c r="O13" i="4"/>
  <c r="O25" i="4"/>
  <c r="K35" i="6"/>
  <c r="O19" i="6"/>
  <c r="O20" i="6"/>
  <c r="O31" i="6"/>
  <c r="O32" i="6"/>
  <c r="K35" i="7"/>
  <c r="O19" i="7"/>
  <c r="O20" i="7"/>
  <c r="O31" i="7"/>
  <c r="O32" i="7"/>
  <c r="E35" i="1"/>
  <c r="O14" i="1"/>
  <c r="O26" i="1"/>
  <c r="O14" i="2"/>
  <c r="O26" i="2"/>
  <c r="E35" i="3"/>
  <c r="O14" i="3"/>
  <c r="O26" i="3"/>
  <c r="E35" i="4"/>
  <c r="O14" i="4"/>
  <c r="O26" i="4"/>
  <c r="L35" i="6"/>
  <c r="O21" i="6"/>
  <c r="O33" i="6"/>
  <c r="L35" i="7"/>
  <c r="O21" i="7"/>
  <c r="F35" i="1"/>
  <c r="F35" i="2"/>
  <c r="O15" i="2"/>
  <c r="O27" i="2"/>
  <c r="F35" i="3"/>
  <c r="F35" i="4"/>
  <c r="M35" i="6"/>
  <c r="O22" i="6"/>
  <c r="O34" i="6"/>
  <c r="M35" i="7"/>
  <c r="O22" i="7"/>
  <c r="O34" i="7"/>
  <c r="G35" i="1"/>
  <c r="O15" i="1"/>
  <c r="O16" i="1"/>
  <c r="O27" i="1"/>
  <c r="O28" i="1"/>
  <c r="G35" i="2"/>
  <c r="O16" i="2"/>
  <c r="O28" i="2"/>
  <c r="G35" i="3"/>
  <c r="O15" i="3"/>
  <c r="O16" i="3"/>
  <c r="O27" i="3"/>
  <c r="O28" i="3"/>
  <c r="G35" i="4"/>
  <c r="O15" i="4"/>
  <c r="O16" i="4"/>
  <c r="O27" i="4"/>
  <c r="O28" i="4"/>
  <c r="B35" i="6"/>
  <c r="N35" i="6"/>
  <c r="B35" i="7"/>
  <c r="N35" i="7"/>
  <c r="H35" i="1"/>
  <c r="O17" i="1"/>
  <c r="O29" i="1"/>
  <c r="H35" i="2"/>
  <c r="O17" i="2"/>
  <c r="O29" i="2"/>
  <c r="H35" i="3"/>
  <c r="O17" i="3"/>
  <c r="O29" i="3"/>
  <c r="H35" i="4"/>
  <c r="O17" i="4"/>
  <c r="O29" i="4"/>
  <c r="O11" i="6"/>
  <c r="O12" i="6"/>
  <c r="O23" i="6"/>
  <c r="O24" i="6"/>
  <c r="O11" i="7"/>
  <c r="O12" i="7"/>
  <c r="O23" i="7"/>
  <c r="O24" i="7"/>
  <c r="I35" i="1"/>
  <c r="O18" i="1"/>
  <c r="O30" i="1"/>
  <c r="I35" i="2"/>
  <c r="O18" i="2"/>
  <c r="O30" i="2"/>
  <c r="I35" i="3"/>
  <c r="O18" i="3"/>
  <c r="O30" i="3"/>
  <c r="I35" i="4"/>
  <c r="O18" i="4"/>
  <c r="O30" i="4"/>
  <c r="D35" i="6"/>
  <c r="O13" i="6"/>
  <c r="O25" i="6"/>
  <c r="D35" i="7"/>
  <c r="O13" i="7"/>
  <c r="O25" i="7"/>
  <c r="O20" i="9"/>
  <c r="O19" i="9"/>
  <c r="O18" i="9"/>
  <c r="O14" i="9"/>
  <c r="O6" i="9"/>
  <c r="O17" i="9"/>
  <c r="K11" i="5"/>
  <c r="C21" i="5"/>
  <c r="B32" i="5"/>
  <c r="G31" i="5"/>
  <c r="O31" i="5" s="1"/>
  <c r="C17" i="5"/>
  <c r="N29" i="5"/>
  <c r="I29" i="5"/>
  <c r="N28" i="5"/>
  <c r="B28" i="5"/>
  <c r="L23" i="5"/>
  <c r="E22" i="5"/>
  <c r="I21" i="5"/>
  <c r="B21" i="5"/>
  <c r="K20" i="5"/>
  <c r="N12" i="5"/>
  <c r="M21" i="5"/>
  <c r="B26" i="5"/>
  <c r="O26" i="5" s="1"/>
  <c r="F32" i="5"/>
  <c r="J12" i="5"/>
  <c r="E12" i="5"/>
  <c r="B34" i="5"/>
  <c r="G19" i="5"/>
  <c r="O19" i="5" s="1"/>
  <c r="E34" i="5"/>
  <c r="G23" i="5"/>
  <c r="O23" i="5" s="1"/>
  <c r="O15" i="5"/>
  <c r="M17" i="5"/>
  <c r="D18" i="5"/>
  <c r="D35" i="5" s="1"/>
  <c r="H18" i="5"/>
  <c r="L22" i="5"/>
  <c r="O24" i="5"/>
  <c r="C27" i="5"/>
  <c r="O27" i="5" s="1"/>
  <c r="H11" i="5"/>
  <c r="L11" i="5"/>
  <c r="O13" i="5"/>
  <c r="K16" i="5"/>
  <c r="O16" i="5" s="1"/>
  <c r="B17" i="5"/>
  <c r="F17" i="5"/>
  <c r="J17" i="5"/>
  <c r="C20" i="5"/>
  <c r="O25" i="5"/>
  <c r="M30" i="5"/>
  <c r="O30" i="5" s="1"/>
  <c r="O33" i="5"/>
  <c r="C35" i="7"/>
  <c r="C35" i="6"/>
  <c r="O11" i="4"/>
  <c r="O11" i="3"/>
  <c r="O11" i="2"/>
  <c r="O11" i="1"/>
  <c r="O28" i="5" l="1"/>
  <c r="O35" i="6"/>
  <c r="N36" i="6" s="1"/>
  <c r="N35" i="5"/>
  <c r="I35" i="5"/>
  <c r="O29" i="5"/>
  <c r="M35" i="5"/>
  <c r="P33" i="6"/>
  <c r="O35" i="7"/>
  <c r="D36" i="7" s="1"/>
  <c r="M36" i="6"/>
  <c r="O22" i="5"/>
  <c r="M36" i="7"/>
  <c r="P21" i="6"/>
  <c r="D36" i="6"/>
  <c r="J35" i="5"/>
  <c r="H35" i="5"/>
  <c r="F35" i="5"/>
  <c r="P13" i="7"/>
  <c r="P21" i="7"/>
  <c r="P25" i="7"/>
  <c r="F36" i="7"/>
  <c r="B36" i="6"/>
  <c r="P17" i="6"/>
  <c r="P12" i="6"/>
  <c r="P14" i="6"/>
  <c r="P26" i="6"/>
  <c r="P23" i="6"/>
  <c r="P28" i="6"/>
  <c r="P11" i="6"/>
  <c r="P20" i="6"/>
  <c r="P30" i="6"/>
  <c r="P31" i="6"/>
  <c r="H36" i="6"/>
  <c r="C36" i="6"/>
  <c r="E35" i="5"/>
  <c r="O12" i="5"/>
  <c r="O34" i="5"/>
  <c r="C35" i="5"/>
  <c r="C36" i="7"/>
  <c r="O18" i="5"/>
  <c r="B35" i="5"/>
  <c r="O21" i="9"/>
  <c r="O20" i="5"/>
  <c r="G35" i="5"/>
  <c r="O32" i="5"/>
  <c r="K35" i="5"/>
  <c r="L35" i="5"/>
  <c r="O11" i="5"/>
  <c r="O17" i="5"/>
  <c r="O21" i="5"/>
  <c r="K36" i="7"/>
  <c r="P16" i="7"/>
  <c r="P22" i="6"/>
  <c r="F36" i="6"/>
  <c r="P19" i="6"/>
  <c r="J36" i="6"/>
  <c r="I36" i="6"/>
  <c r="P29" i="6"/>
  <c r="P13" i="6"/>
  <c r="P27" i="6"/>
  <c r="K36" i="6"/>
  <c r="P34" i="6"/>
  <c r="P18" i="6"/>
  <c r="P25" i="6"/>
  <c r="L36" i="6"/>
  <c r="P32" i="6"/>
  <c r="P24" i="6"/>
  <c r="P16" i="6"/>
  <c r="G36" i="6"/>
  <c r="O35" i="4"/>
  <c r="P11" i="4" s="1"/>
  <c r="O35" i="3"/>
  <c r="O35" i="2"/>
  <c r="O35" i="1"/>
  <c r="P12" i="7" l="1"/>
  <c r="P11" i="7"/>
  <c r="I36" i="7"/>
  <c r="P29" i="7"/>
  <c r="P27" i="7"/>
  <c r="P28" i="7"/>
  <c r="E36" i="6"/>
  <c r="G36" i="7"/>
  <c r="P15" i="6"/>
  <c r="P35" i="6" s="1"/>
  <c r="P19" i="7"/>
  <c r="P26" i="7"/>
  <c r="P33" i="7"/>
  <c r="E36" i="7"/>
  <c r="P20" i="7"/>
  <c r="P31" i="7"/>
  <c r="P14" i="7"/>
  <c r="L36" i="7"/>
  <c r="P34" i="7"/>
  <c r="N36" i="7"/>
  <c r="P32" i="7"/>
  <c r="P18" i="7"/>
  <c r="P17" i="7"/>
  <c r="H36" i="7"/>
  <c r="P24" i="7"/>
  <c r="P23" i="7"/>
  <c r="P22" i="7"/>
  <c r="B36" i="7"/>
  <c r="J36" i="7"/>
  <c r="P30" i="7"/>
  <c r="P15" i="7"/>
  <c r="O36" i="6"/>
  <c r="O35" i="5"/>
  <c r="P20" i="5" s="1"/>
  <c r="F36" i="4"/>
  <c r="P16" i="4"/>
  <c r="P32" i="4"/>
  <c r="P13" i="4"/>
  <c r="P29" i="4"/>
  <c r="C36" i="4"/>
  <c r="P23" i="4"/>
  <c r="I36" i="4"/>
  <c r="P22" i="4"/>
  <c r="P12" i="4"/>
  <c r="P28" i="4"/>
  <c r="L36" i="4"/>
  <c r="P25" i="4"/>
  <c r="J36" i="4"/>
  <c r="E36" i="4"/>
  <c r="P34" i="4"/>
  <c r="N36" i="4"/>
  <c r="P20" i="4"/>
  <c r="D36" i="4"/>
  <c r="P17" i="4"/>
  <c r="P33" i="4"/>
  <c r="K36" i="4"/>
  <c r="P27" i="4"/>
  <c r="M36" i="4"/>
  <c r="P26" i="4"/>
  <c r="G36" i="4"/>
  <c r="P24" i="4"/>
  <c r="H36" i="4"/>
  <c r="P21" i="4"/>
  <c r="B36" i="4"/>
  <c r="P15" i="4"/>
  <c r="P31" i="4"/>
  <c r="P14" i="4"/>
  <c r="P30" i="4"/>
  <c r="P19" i="4"/>
  <c r="P18" i="4"/>
  <c r="B36" i="3"/>
  <c r="K36" i="3"/>
  <c r="P19" i="3"/>
  <c r="P27" i="3"/>
  <c r="F36" i="3"/>
  <c r="P13" i="3"/>
  <c r="P29" i="3"/>
  <c r="I36" i="3"/>
  <c r="P22" i="3"/>
  <c r="P12" i="3"/>
  <c r="P20" i="3"/>
  <c r="P28" i="3"/>
  <c r="D36" i="3"/>
  <c r="P17" i="3"/>
  <c r="P33" i="3"/>
  <c r="P26" i="3"/>
  <c r="N36" i="3"/>
  <c r="M36" i="3"/>
  <c r="C36" i="3"/>
  <c r="P15" i="3"/>
  <c r="P23" i="3"/>
  <c r="P31" i="3"/>
  <c r="H36" i="3"/>
  <c r="P21" i="3"/>
  <c r="J36" i="3"/>
  <c r="P14" i="3"/>
  <c r="P30" i="3"/>
  <c r="G36" i="3"/>
  <c r="P16" i="3"/>
  <c r="P24" i="3"/>
  <c r="P32" i="3"/>
  <c r="L36" i="3"/>
  <c r="P25" i="3"/>
  <c r="E36" i="3"/>
  <c r="P18" i="3"/>
  <c r="P34" i="3"/>
  <c r="P11" i="3"/>
  <c r="B36" i="2"/>
  <c r="P15" i="2"/>
  <c r="P31" i="2"/>
  <c r="P12" i="2"/>
  <c r="P28" i="2"/>
  <c r="L36" i="2"/>
  <c r="P25" i="2"/>
  <c r="I36" i="2"/>
  <c r="P22" i="2"/>
  <c r="F36" i="2"/>
  <c r="P19" i="2"/>
  <c r="C36" i="2"/>
  <c r="P16" i="2"/>
  <c r="P32" i="2"/>
  <c r="P13" i="2"/>
  <c r="P29" i="2"/>
  <c r="M36" i="2"/>
  <c r="P26" i="2"/>
  <c r="E36" i="2"/>
  <c r="J36" i="2"/>
  <c r="P23" i="2"/>
  <c r="G36" i="2"/>
  <c r="P20" i="2"/>
  <c r="D36" i="2"/>
  <c r="P17" i="2"/>
  <c r="P33" i="2"/>
  <c r="P14" i="2"/>
  <c r="P30" i="2"/>
  <c r="P24" i="2"/>
  <c r="P18" i="2"/>
  <c r="N36" i="2"/>
  <c r="P27" i="2"/>
  <c r="K36" i="2"/>
  <c r="H36" i="2"/>
  <c r="P21" i="2"/>
  <c r="P34" i="2"/>
  <c r="P11" i="2"/>
  <c r="J36" i="1"/>
  <c r="C36" i="1"/>
  <c r="P15" i="1"/>
  <c r="P23" i="1"/>
  <c r="P31" i="1"/>
  <c r="L36" i="1"/>
  <c r="P25" i="1"/>
  <c r="I36" i="1"/>
  <c r="P22" i="1"/>
  <c r="P21" i="1"/>
  <c r="P18" i="1"/>
  <c r="B36" i="1"/>
  <c r="G36" i="1"/>
  <c r="P16" i="1"/>
  <c r="P24" i="1"/>
  <c r="P32" i="1"/>
  <c r="P13" i="1"/>
  <c r="P29" i="1"/>
  <c r="M36" i="1"/>
  <c r="P26" i="1"/>
  <c r="F36" i="1"/>
  <c r="K36" i="1"/>
  <c r="P19" i="1"/>
  <c r="P27" i="1"/>
  <c r="D36" i="1"/>
  <c r="P17" i="1"/>
  <c r="P33" i="1"/>
  <c r="P14" i="1"/>
  <c r="P30" i="1"/>
  <c r="N36" i="1"/>
  <c r="P12" i="1"/>
  <c r="P20" i="1"/>
  <c r="P28" i="1"/>
  <c r="H36" i="1"/>
  <c r="E36" i="1"/>
  <c r="P34" i="1"/>
  <c r="P11" i="1"/>
  <c r="P35" i="7" l="1"/>
  <c r="O36" i="7"/>
  <c r="K36" i="5"/>
  <c r="P17" i="5"/>
  <c r="P32" i="5"/>
  <c r="L36" i="5"/>
  <c r="P11" i="5"/>
  <c r="P35" i="4"/>
  <c r="O36" i="1"/>
  <c r="P35" i="2"/>
  <c r="B36" i="5"/>
  <c r="P12" i="5"/>
  <c r="P28" i="5"/>
  <c r="H36" i="5"/>
  <c r="P34" i="5"/>
  <c r="N36" i="5"/>
  <c r="P27" i="5"/>
  <c r="D36" i="5"/>
  <c r="P33" i="5"/>
  <c r="P15" i="5"/>
  <c r="P25" i="5"/>
  <c r="P24" i="5"/>
  <c r="P13" i="5"/>
  <c r="P26" i="5"/>
  <c r="P14" i="5"/>
  <c r="P22" i="5"/>
  <c r="E36" i="5"/>
  <c r="P29" i="5"/>
  <c r="P23" i="5"/>
  <c r="C36" i="5"/>
  <c r="I36" i="5"/>
  <c r="P30" i="5"/>
  <c r="P19" i="5"/>
  <c r="M36" i="5"/>
  <c r="P16" i="5"/>
  <c r="P31" i="5"/>
  <c r="J36" i="5"/>
  <c r="P18" i="5"/>
  <c r="F36" i="5"/>
  <c r="G36" i="5"/>
  <c r="P21" i="5"/>
  <c r="O36" i="4"/>
  <c r="P35" i="3"/>
  <c r="O36" i="3"/>
  <c r="O36" i="2"/>
  <c r="P35" i="1"/>
  <c r="P35" i="5" l="1"/>
  <c r="O36" i="5"/>
</calcChain>
</file>

<file path=xl/sharedStrings.xml><?xml version="1.0" encoding="utf-8"?>
<sst xmlns="http://schemas.openxmlformats.org/spreadsheetml/2006/main" count="600" uniqueCount="141">
  <si>
    <t>RESUMEN DE CONTEO</t>
  </si>
  <si>
    <t xml:space="preserve"> </t>
  </si>
  <si>
    <t>CLASIFICACIÓN DE VEHÍCULOS</t>
  </si>
  <si>
    <r>
      <t>CAMINO:</t>
    </r>
    <r>
      <rPr>
        <u/>
        <sz val="11"/>
        <rFont val="Arial"/>
        <family val="2"/>
      </rPr>
      <t xml:space="preserve">DOBLE VIA ORURO - COCHABAMBA </t>
    </r>
  </si>
  <si>
    <t xml:space="preserve">DEPARTAMENTO: </t>
  </si>
  <si>
    <r>
      <t>ESTACIÓN:</t>
    </r>
    <r>
      <rPr>
        <u/>
        <sz val="11"/>
        <rFont val="Arial"/>
        <family val="2"/>
      </rPr>
      <t xml:space="preserve"> CAIHUASI</t>
    </r>
  </si>
  <si>
    <t xml:space="preserve">Nº. </t>
  </si>
  <si>
    <t>S/N</t>
  </si>
  <si>
    <r>
      <t>TRAMO:</t>
    </r>
    <r>
      <rPr>
        <u/>
        <sz val="11"/>
        <rFont val="Arial"/>
        <family val="2"/>
      </rPr>
      <t xml:space="preserve"> 1</t>
    </r>
  </si>
  <si>
    <t xml:space="preserve">FECHA: </t>
  </si>
  <si>
    <t>HORA         DE - A</t>
  </si>
  <si>
    <t>AUTOMÓVILES VAGONETAS Y JEEP</t>
  </si>
  <si>
    <t>CAMIONETAS</t>
  </si>
  <si>
    <t>MINIBUSES</t>
  </si>
  <si>
    <r>
      <t xml:space="preserve">MICROBUSES
</t>
    </r>
    <r>
      <rPr>
        <sz val="10"/>
        <rFont val="Arial"/>
        <family val="2"/>
      </rPr>
      <t>(DOS EJES)</t>
    </r>
  </si>
  <si>
    <r>
      <t xml:space="preserve">BÚS MEDIANO
</t>
    </r>
    <r>
      <rPr>
        <sz val="10"/>
        <rFont val="Arial"/>
        <family val="2"/>
      </rPr>
      <t>(DOS EJES)</t>
    </r>
  </si>
  <si>
    <r>
      <t xml:space="preserve">BÚS GRANDE 
</t>
    </r>
    <r>
      <rPr>
        <sz val="10"/>
        <rFont val="Arial"/>
        <family val="2"/>
      </rPr>
      <t>(DOS O MAS EJES)</t>
    </r>
  </si>
  <si>
    <r>
      <t xml:space="preserve">CAMIÓN MEDIANO
</t>
    </r>
    <r>
      <rPr>
        <sz val="10"/>
        <rFont val="Arial"/>
        <family val="2"/>
      </rPr>
      <t>(DOS EJES)</t>
    </r>
  </si>
  <si>
    <r>
      <t>CAMIÓN GRANDE
( DOS EJES</t>
    </r>
    <r>
      <rPr>
        <sz val="10"/>
        <rFont val="Arial"/>
        <family val="2"/>
      </rPr>
      <t>)</t>
    </r>
  </si>
  <si>
    <r>
      <t xml:space="preserve">CAMION GRANDE
</t>
    </r>
    <r>
      <rPr>
        <sz val="10"/>
        <rFont val="Arial"/>
        <family val="2"/>
      </rPr>
      <t>(TRES EJES)</t>
    </r>
  </si>
  <si>
    <t>CAMIÓN CON SEMIRREMOLQUE</t>
  </si>
  <si>
    <t>CAMION CON
REMOLQUE</t>
  </si>
  <si>
    <t>MOTOCICLETAS</t>
  </si>
  <si>
    <t>OTROS VEHICULOS</t>
  </si>
  <si>
    <t>TOTAL</t>
  </si>
  <si>
    <t>PORCENTAJE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</si>
  <si>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</si>
  <si>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</si>
  <si>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</si>
  <si>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</si>
  <si>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</si>
  <si>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</si>
  <si>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</si>
  <si>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</si>
  <si>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</si>
  <si>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</si>
  <si>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</si>
  <si>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</si>
  <si>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</si>
  <si>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</si>
  <si>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</si>
  <si>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</si>
  <si>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</si>
  <si>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</si>
  <si>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</si>
  <si>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</si>
  <si>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</si>
  <si>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</si>
  <si>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</si>
  <si>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</si>
  <si>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(%)</t>
  </si>
  <si>
    <t>ESTACIÓN&gt; CAIHUASI</t>
  </si>
  <si>
    <r>
      <t>ESTACIÓN:</t>
    </r>
    <r>
      <rPr>
        <u/>
        <sz val="11"/>
        <rFont val="Arial"/>
        <family val="2"/>
      </rPr>
      <t xml:space="preserve"> cAHIHUASI</t>
    </r>
  </si>
  <si>
    <r>
      <t>ESTACIÓN:</t>
    </r>
    <r>
      <rPr>
        <u/>
        <sz val="11"/>
        <rFont val="Arial"/>
        <family val="2"/>
      </rPr>
      <t xml:space="preserve"> Villapata</t>
    </r>
  </si>
  <si>
    <t>Tramo Okinawa - Los Troncos</t>
  </si>
  <si>
    <t xml:space="preserve">14:00:00 14:15:00 </t>
  </si>
  <si>
    <t>14:00:15 14:30:00</t>
  </si>
  <si>
    <t>14:30:00 14:45:00</t>
  </si>
  <si>
    <t>14:45:00 15:00:00</t>
  </si>
  <si>
    <r>
      <t xml:space="preserve">MICROBUSES
</t>
    </r>
    <r>
      <rPr>
        <sz val="8"/>
        <rFont val="Arial"/>
        <family val="2"/>
      </rPr>
      <t>(DOS EJES)</t>
    </r>
  </si>
  <si>
    <r>
      <t xml:space="preserve">BÚS MEDIANO
</t>
    </r>
    <r>
      <rPr>
        <sz val="8"/>
        <rFont val="Arial"/>
        <family val="2"/>
      </rPr>
      <t>(DOS EJES)</t>
    </r>
  </si>
  <si>
    <r>
      <t xml:space="preserve">BÚS GRANDE 
</t>
    </r>
    <r>
      <rPr>
        <sz val="8"/>
        <rFont val="Arial"/>
        <family val="2"/>
      </rPr>
      <t>(DOS O MAS EJES)</t>
    </r>
  </si>
  <si>
    <r>
      <t xml:space="preserve">CAMIÓN MEDIANO
</t>
    </r>
    <r>
      <rPr>
        <sz val="8"/>
        <rFont val="Arial"/>
        <family val="2"/>
      </rPr>
      <t>(DOS EJES)</t>
    </r>
  </si>
  <si>
    <r>
      <t>CAMIÓN GRANDE
( DOS EJES</t>
    </r>
    <r>
      <rPr>
        <sz val="8"/>
        <rFont val="Arial"/>
        <family val="2"/>
      </rPr>
      <t>)</t>
    </r>
  </si>
  <si>
    <r>
      <t xml:space="preserve">CAMION GRANDE
</t>
    </r>
    <r>
      <rPr>
        <sz val="8"/>
        <rFont val="Arial"/>
        <family val="2"/>
      </rPr>
      <t>(TRES EJES)</t>
    </r>
  </si>
  <si>
    <t>HORA     
DE - A</t>
  </si>
  <si>
    <t>N°</t>
  </si>
  <si>
    <t>VEHÍCULOS</t>
  </si>
  <si>
    <r>
      <t>f</t>
    </r>
    <r>
      <rPr>
        <b/>
        <vertAlign val="subscript"/>
        <sz val="18"/>
        <color rgb="FFFFFFFF"/>
        <rFont val="Calibri"/>
        <family val="2"/>
      </rPr>
      <t>e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</si>
  <si>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</si>
  <si>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</si>
  <si>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</si>
  <si>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</si>
  <si>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</si>
  <si>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</si>
  <si>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</si>
  <si>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</si>
  <si>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</si>
  <si>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</si>
  <si>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</si>
  <si>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</si>
  <si>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TP</t>
  </si>
  <si>
    <t>TPDA</t>
  </si>
  <si>
    <t>AÑO</t>
  </si>
  <si>
    <t>% de trafico de Desarrollo</t>
  </si>
  <si>
    <t>% de trafico inducido</t>
  </si>
  <si>
    <t>NRO.</t>
  </si>
  <si>
    <t>LIVIANOS</t>
  </si>
  <si>
    <t>UTILITARIOS</t>
  </si>
  <si>
    <t>BUSES</t>
  </si>
  <si>
    <t>CAMIONES RIGIDOS</t>
  </si>
  <si>
    <t>CAMIONES ARTICULADOS</t>
  </si>
  <si>
    <t>Sabado</t>
  </si>
  <si>
    <t>Domingo</t>
  </si>
  <si>
    <t>Lunes</t>
  </si>
  <si>
    <t>Martes</t>
  </si>
  <si>
    <t>Miércoles</t>
  </si>
  <si>
    <t>Jueves</t>
  </si>
  <si>
    <t>Viernes</t>
  </si>
  <si>
    <t>PROMEDIO</t>
  </si>
  <si>
    <t>TIPO DE VEHÍCULO</t>
  </si>
  <si>
    <t>ETAPA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</si>
  <si>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</si>
  <si>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</si>
  <si>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</si>
  <si>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</si>
  <si>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</si>
  <si>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</si>
  <si>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</si>
  <si>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</si>
  <si>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</si>
  <si>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</si>
  <si>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</si>
  <si>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</si>
  <si>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TPDS</t>
  </si>
  <si>
    <r>
      <t>f</t>
    </r>
    <r>
      <rPr>
        <b/>
        <i/>
        <vertAlign val="subscript"/>
        <sz val="9"/>
        <color theme="0"/>
        <rFont val="Arial"/>
        <family val="2"/>
      </rPr>
      <t>e</t>
    </r>
  </si>
  <si>
    <t>t</t>
  </si>
  <si>
    <t>EDTP</t>
  </si>
  <si>
    <t>LICIT</t>
  </si>
  <si>
    <t>CONST.</t>
  </si>
  <si>
    <t>O P E R A C I O N</t>
  </si>
  <si>
    <t>REFERENCIAS</t>
  </si>
  <si>
    <t>T1: Automóviles, Vagonetas y Jeep</t>
  </si>
  <si>
    <t>T5: Buses Medianos dos ejes (22 a 35 asientos)</t>
  </si>
  <si>
    <t>T9: Camiones Grandes tres ejes (hasta 10 Ton)</t>
  </si>
  <si>
    <t>T2: Camionetas (Hasta 2 Ton)</t>
  </si>
  <si>
    <t>T6: Buses Grandes tres ejes (36 asientos o mas)</t>
  </si>
  <si>
    <t>T10: Camiones Semiremolque</t>
  </si>
  <si>
    <t>T3: Minibuses (7 a 15 asientos)</t>
  </si>
  <si>
    <t>T7: Camiones Medianos dos ejes (hasta 10 Ton)</t>
  </si>
  <si>
    <t>T11: Camiones Remolque</t>
  </si>
  <si>
    <t>T4: Microbuses dos ejes (16 a 21 asientos)</t>
  </si>
  <si>
    <t>T8: Camiones Grandes dos ejes</t>
  </si>
  <si>
    <t>T12: Otros Vehículos</t>
  </si>
  <si>
    <t>ESAL's</t>
  </si>
  <si>
    <t>%</t>
  </si>
  <si>
    <t>FACTOR EE</t>
  </si>
  <si>
    <t>EP</t>
  </si>
  <si>
    <t>LICT.</t>
  </si>
  <si>
    <t>T9: Camiones Grandes tres ejes (hasta 15 Ton)</t>
  </si>
  <si>
    <r>
      <t>….......... x10E</t>
    </r>
    <r>
      <rPr>
        <b/>
        <vertAlign val="superscript"/>
        <sz val="11"/>
        <color rgb="FFFFFF00"/>
        <rFont val="Calibri"/>
        <family val="2"/>
        <scheme val="minor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</si>
</sst>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u/>
      <sz val="9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8"/>
      <color rgb="FFFFFFFF"/>
      <name val="Calibri"/>
      <family val="2"/>
    </font>
    <font>
      <b/>
      <vertAlign val="subscript"/>
      <sz val="18"/>
      <color rgb="FFFFFFFF"/>
      <name val="Calibri"/>
      <family val="2"/>
    </font>
    <font>
      <sz val="13.5"/>
      <color rgb="FF000000"/>
      <name val="Calibri"/>
      <family val="2"/>
    </font>
    <font>
      <sz val="18"/>
      <color rgb="FF000000"/>
      <name val="Calibri"/>
      <family val="2"/>
    </font>
    <font>
      <b/>
      <sz val="9"/>
      <color theme="0"/>
      <name val="Ebrima"/>
    </font>
    <font>
      <sz val="9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  <font>
      <b/>
      <i/>
      <vertAlign val="subscript"/>
      <sz val="9"/>
      <color theme="0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vertAlign val="superscript"/>
      <sz val="11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rgb="FF5B9BD5"/>
      </left>
      <right style="medium">
        <color rgb="FFFFFFFF"/>
      </right>
      <top style="medium">
        <color rgb="FF5B9BD5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5B9BD5"/>
      </top>
      <bottom style="medium">
        <color rgb="FF5B9BD5"/>
      </bottom>
      <diagonal/>
    </border>
    <border>
      <left style="medium">
        <color rgb="FFFFFFFF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FFFFFF"/>
      </top>
      <bottom style="medium">
        <color rgb="FFFFFFFF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FFFFFF"/>
      </top>
      <bottom style="medium">
        <color rgb="FF5B9BD5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43">
    <xf numFmtId="0" fontId="0" fillId="0" borderId="0" xfId="0"/>
    <xf numFmtId="0" fontId="2" fillId="0" borderId="0" xfId="0" applyFont="1" applyFill="1" applyAlignment="1" applyProtection="1"/>
    <xf numFmtId="0" fontId="3" fillId="0" borderId="0" xfId="0" applyFont="1" applyFill="1"/>
    <xf numFmtId="0" fontId="4" fillId="0" borderId="0" xfId="0" applyFont="1"/>
    <xf numFmtId="0" fontId="3" fillId="0" borderId="0" xfId="0" applyFont="1" applyFill="1" applyAlignment="1" applyProtection="1"/>
    <xf numFmtId="0" fontId="2" fillId="0" borderId="0" xfId="0" applyFont="1" applyFill="1" applyAlignment="1" applyProtection="1">
      <alignment horizontal="left"/>
    </xf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 textRotation="90" wrapText="1"/>
    </xf>
    <xf numFmtId="0" fontId="8" fillId="0" borderId="0" xfId="0" applyFont="1" applyAlignment="1">
      <alignment vertical="center"/>
    </xf>
    <xf numFmtId="1" fontId="8" fillId="0" borderId="4" xfId="0" quotePrefix="1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9" fontId="8" fillId="0" borderId="6" xfId="1" applyNumberFormat="1" applyFont="1" applyBorder="1"/>
    <xf numFmtId="1" fontId="8" fillId="0" borderId="7" xfId="0" quotePrefix="1" applyNumberFormat="1" applyFont="1" applyBorder="1" applyAlignment="1">
      <alignment horizontal="center"/>
    </xf>
    <xf numFmtId="1" fontId="8" fillId="0" borderId="8" xfId="0" quotePrefix="1" applyNumberFormat="1" applyFont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9" fontId="8" fillId="0" borderId="10" xfId="1" applyFont="1" applyBorder="1"/>
    <xf numFmtId="1" fontId="10" fillId="0" borderId="1" xfId="0" applyNumberFormat="1" applyFont="1" applyBorder="1" applyAlignment="1">
      <alignment horizontal="center"/>
    </xf>
    <xf numFmtId="9" fontId="8" fillId="0" borderId="2" xfId="1" applyFont="1" applyBorder="1"/>
    <xf numFmtId="1" fontId="8" fillId="0" borderId="11" xfId="0" applyNumberFormat="1" applyFont="1" applyBorder="1"/>
    <xf numFmtId="0" fontId="11" fillId="0" borderId="0" xfId="0" applyFont="1" applyAlignment="1">
      <alignment horizontal="right" vertical="top"/>
    </xf>
    <xf numFmtId="1" fontId="8" fillId="2" borderId="7" xfId="0" quotePrefix="1" applyNumberFormat="1" applyFont="1" applyFill="1" applyBorder="1" applyAlignment="1">
      <alignment horizontal="center"/>
    </xf>
    <xf numFmtId="1" fontId="8" fillId="2" borderId="5" xfId="0" applyNumberFormat="1" applyFont="1" applyFill="1" applyBorder="1" applyAlignment="1">
      <alignment horizontal="center"/>
    </xf>
    <xf numFmtId="9" fontId="8" fillId="2" borderId="6" xfId="1" applyNumberFormat="1" applyFont="1" applyFill="1" applyBorder="1"/>
    <xf numFmtId="20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20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20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12" fillId="0" borderId="2" xfId="0" applyFont="1" applyBorder="1" applyAlignment="1">
      <alignment horizontal="center" vertical="center" textRotation="90" wrapText="1"/>
    </xf>
    <xf numFmtId="0" fontId="12" fillId="0" borderId="26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 wrapText="1" readingOrder="1"/>
    </xf>
    <xf numFmtId="0" fontId="14" fillId="3" borderId="28" xfId="0" applyFont="1" applyFill="1" applyBorder="1" applyAlignment="1">
      <alignment horizontal="center" vertical="center" wrapText="1" readingOrder="1"/>
    </xf>
    <xf numFmtId="0" fontId="14" fillId="3" borderId="29" xfId="0" applyFont="1" applyFill="1" applyBorder="1" applyAlignment="1">
      <alignment horizontal="center" vertical="center" wrapText="1" readingOrder="1"/>
    </xf>
    <xf numFmtId="0" fontId="14" fillId="3" borderId="30" xfId="0" applyFont="1" applyFill="1" applyBorder="1" applyAlignment="1">
      <alignment horizontal="center" vertical="center" wrapText="1" readingOrder="1"/>
    </xf>
    <xf numFmtId="0" fontId="16" fillId="0" borderId="31" xfId="0" applyFont="1" applyBorder="1" applyAlignment="1">
      <alignment horizontal="center" vertical="center" wrapText="1" readingOrder="1"/>
    </xf>
    <xf numFmtId="2" fontId="16" fillId="0" borderId="31" xfId="0" applyNumberFormat="1" applyFont="1" applyBorder="1" applyAlignment="1">
      <alignment horizontal="center" vertical="center" wrapText="1" readingOrder="1"/>
    </xf>
    <xf numFmtId="0" fontId="14" fillId="3" borderId="32" xfId="0" applyFont="1" applyFill="1" applyBorder="1" applyAlignment="1">
      <alignment horizontal="center" vertical="center" wrapText="1" readingOrder="1"/>
    </xf>
    <xf numFmtId="1" fontId="17" fillId="0" borderId="31" xfId="0" applyNumberFormat="1" applyFont="1" applyBorder="1" applyAlignment="1">
      <alignment horizontal="center" vertical="center" wrapText="1" readingOrder="1"/>
    </xf>
    <xf numFmtId="0" fontId="17" fillId="0" borderId="31" xfId="0" applyFont="1" applyBorder="1" applyAlignment="1">
      <alignment horizontal="center" vertical="center" wrapText="1" readingOrder="1"/>
    </xf>
    <xf numFmtId="0" fontId="0" fillId="0" borderId="0" xfId="0"/>
    <xf numFmtId="0" fontId="0" fillId="0" borderId="16" xfId="0" applyBorder="1" applyAlignment="1">
      <alignment horizontal="center" vertical="center"/>
    </xf>
    <xf numFmtId="10" fontId="0" fillId="0" borderId="0" xfId="0" applyNumberFormat="1"/>
    <xf numFmtId="0" fontId="0" fillId="2" borderId="16" xfId="0" applyFill="1" applyBorder="1" applyAlignment="1">
      <alignment horizontal="center" vertical="center"/>
    </xf>
    <xf numFmtId="0" fontId="18" fillId="4" borderId="34" xfId="0" applyFont="1" applyFill="1" applyBorder="1" applyAlignment="1" applyProtection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3" fillId="0" borderId="0" xfId="0" applyFont="1"/>
    <xf numFmtId="0" fontId="10" fillId="0" borderId="35" xfId="0" applyFont="1" applyBorder="1" applyAlignment="1">
      <alignment horizontal="center" vertical="center" textRotation="90" wrapText="1"/>
    </xf>
    <xf numFmtId="0" fontId="12" fillId="0" borderId="16" xfId="0" applyFont="1" applyBorder="1" applyAlignment="1">
      <alignment horizontal="center" vertical="center"/>
    </xf>
    <xf numFmtId="1" fontId="23" fillId="0" borderId="16" xfId="0" applyNumberFormat="1" applyFont="1" applyBorder="1" applyAlignment="1">
      <alignment horizontal="center" vertical="center"/>
    </xf>
    <xf numFmtId="1" fontId="24" fillId="0" borderId="16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1" fontId="0" fillId="0" borderId="0" xfId="0" applyNumberFormat="1"/>
    <xf numFmtId="10" fontId="0" fillId="0" borderId="0" xfId="1" applyNumberFormat="1" applyFont="1"/>
    <xf numFmtId="1" fontId="22" fillId="5" borderId="36" xfId="0" applyNumberFormat="1" applyFont="1" applyFill="1" applyBorder="1" applyAlignment="1">
      <alignment vertical="center"/>
    </xf>
    <xf numFmtId="1" fontId="25" fillId="5" borderId="36" xfId="2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 textRotation="255" wrapText="1"/>
    </xf>
    <xf numFmtId="1" fontId="20" fillId="5" borderId="36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1" fontId="25" fillId="5" borderId="36" xfId="2" applyNumberFormat="1" applyFont="1" applyFill="1" applyBorder="1" applyAlignment="1">
      <alignment horizontal="center" vertical="center"/>
    </xf>
    <xf numFmtId="1" fontId="22" fillId="5" borderId="36" xfId="0" applyNumberFormat="1" applyFont="1" applyFill="1" applyBorder="1" applyAlignment="1">
      <alignment horizontal="center" vertical="center" textRotation="255" wrapText="1"/>
    </xf>
    <xf numFmtId="1" fontId="26" fillId="5" borderId="36" xfId="0" applyNumberFormat="1" applyFont="1" applyFill="1" applyBorder="1" applyAlignment="1">
      <alignment horizontal="center" vertical="center"/>
    </xf>
    <xf numFmtId="2" fontId="25" fillId="5" borderId="36" xfId="2" applyNumberFormat="1" applyFont="1" applyFill="1" applyBorder="1" applyAlignment="1">
      <alignment horizontal="center" vertical="center"/>
    </xf>
    <xf numFmtId="1" fontId="26" fillId="5" borderId="36" xfId="2" applyNumberFormat="1" applyFont="1" applyFill="1" applyBorder="1" applyAlignment="1">
      <alignment horizontal="center" vertical="center"/>
    </xf>
    <xf numFmtId="10" fontId="26" fillId="5" borderId="36" xfId="1" applyNumberFormat="1" applyFont="1" applyFill="1" applyBorder="1" applyAlignment="1">
      <alignment horizontal="center" vertical="center"/>
    </xf>
    <xf numFmtId="1" fontId="28" fillId="6" borderId="36" xfId="2" applyNumberFormat="1" applyFont="1" applyFill="1" applyBorder="1" applyAlignment="1">
      <alignment horizontal="center" vertical="center"/>
    </xf>
    <xf numFmtId="1" fontId="29" fillId="6" borderId="36" xfId="0" applyNumberFormat="1" applyFont="1" applyFill="1" applyBorder="1" applyAlignment="1">
      <alignment horizontal="center"/>
    </xf>
    <xf numFmtId="1" fontId="30" fillId="6" borderId="36" xfId="2" applyNumberFormat="1" applyFont="1" applyFill="1" applyBorder="1" applyAlignment="1">
      <alignment horizontal="center" vertical="center"/>
    </xf>
    <xf numFmtId="1" fontId="28" fillId="6" borderId="37" xfId="2" applyNumberFormat="1" applyFont="1" applyFill="1" applyBorder="1" applyAlignment="1">
      <alignment horizontal="center" vertical="center"/>
    </xf>
    <xf numFmtId="1" fontId="28" fillId="6" borderId="38" xfId="2" applyNumberFormat="1" applyFont="1" applyFill="1" applyBorder="1" applyAlignment="1">
      <alignment horizontal="center" vertical="center"/>
    </xf>
    <xf numFmtId="1" fontId="28" fillId="6" borderId="39" xfId="2" applyNumberFormat="1" applyFont="1" applyFill="1" applyBorder="1" applyAlignment="1">
      <alignment horizontal="center" vertical="center"/>
    </xf>
    <xf numFmtId="1" fontId="28" fillId="6" borderId="37" xfId="2" applyNumberFormat="1" applyFont="1" applyFill="1" applyBorder="1" applyAlignment="1">
      <alignment horizontal="center" vertical="center" textRotation="90"/>
    </xf>
    <xf numFmtId="1" fontId="28" fillId="6" borderId="38" xfId="2" applyNumberFormat="1" applyFont="1" applyFill="1" applyBorder="1" applyAlignment="1">
      <alignment horizontal="center" vertical="center" textRotation="90"/>
    </xf>
    <xf numFmtId="1" fontId="28" fillId="6" borderId="39" xfId="2" applyNumberFormat="1" applyFont="1" applyFill="1" applyBorder="1" applyAlignment="1">
      <alignment horizontal="center" vertical="center" textRotation="90"/>
    </xf>
    <xf numFmtId="1" fontId="31" fillId="6" borderId="0" xfId="0" applyNumberFormat="1" applyFont="1" applyFill="1" applyAlignment="1">
      <alignment vertical="center"/>
    </xf>
    <xf numFmtId="1" fontId="12" fillId="6" borderId="0" xfId="0" applyNumberFormat="1" applyFont="1" applyFill="1" applyAlignment="1">
      <alignment horizontal="left" vertical="center"/>
    </xf>
    <xf numFmtId="1" fontId="13" fillId="6" borderId="0" xfId="0" applyNumberFormat="1" applyFont="1" applyFill="1" applyAlignment="1">
      <alignment horizontal="left" vertical="center"/>
    </xf>
    <xf numFmtId="1" fontId="13" fillId="6" borderId="0" xfId="0" applyNumberFormat="1" applyFont="1" applyFill="1" applyAlignment="1">
      <alignment horizontal="center" vertical="center"/>
    </xf>
    <xf numFmtId="4" fontId="22" fillId="5" borderId="36" xfId="0" applyNumberFormat="1" applyFont="1" applyFill="1" applyBorder="1" applyAlignment="1">
      <alignment vertical="center"/>
    </xf>
    <xf numFmtId="4" fontId="25" fillId="5" borderId="36" xfId="2" applyNumberFormat="1" applyFont="1" applyFill="1" applyBorder="1" applyAlignment="1">
      <alignment horizontal="center" vertical="center"/>
    </xf>
    <xf numFmtId="4" fontId="25" fillId="5" borderId="36" xfId="2" applyNumberFormat="1" applyFont="1" applyFill="1" applyBorder="1" applyAlignment="1">
      <alignment horizontal="center" vertical="center"/>
    </xf>
    <xf numFmtId="4" fontId="20" fillId="5" borderId="36" xfId="0" applyNumberFormat="1" applyFont="1" applyFill="1" applyBorder="1" applyAlignment="1">
      <alignment horizontal="center" vertical="center" textRotation="255" wrapText="1"/>
    </xf>
    <xf numFmtId="4" fontId="0" fillId="0" borderId="0" xfId="0" applyNumberFormat="1"/>
    <xf numFmtId="4" fontId="24" fillId="0" borderId="0" xfId="0" applyNumberFormat="1" applyFont="1" applyAlignment="1">
      <alignment horizontal="center" vertical="center"/>
    </xf>
    <xf numFmtId="4" fontId="20" fillId="5" borderId="36" xfId="0" applyNumberFormat="1" applyFont="1" applyFill="1" applyBorder="1" applyAlignment="1">
      <alignment horizontal="center" vertical="center"/>
    </xf>
    <xf numFmtId="4" fontId="20" fillId="5" borderId="36" xfId="0" applyNumberFormat="1" applyFont="1" applyFill="1" applyBorder="1" applyAlignment="1">
      <alignment horizontal="center" vertical="center"/>
    </xf>
    <xf numFmtId="4" fontId="25" fillId="5" borderId="40" xfId="2" applyNumberFormat="1" applyFont="1" applyFill="1" applyBorder="1" applyAlignment="1">
      <alignment horizontal="center" vertical="center"/>
    </xf>
    <xf numFmtId="4" fontId="25" fillId="5" borderId="41" xfId="2" applyNumberFormat="1" applyFont="1" applyFill="1" applyBorder="1" applyAlignment="1">
      <alignment horizontal="center" vertical="center"/>
    </xf>
    <xf numFmtId="4" fontId="22" fillId="5" borderId="36" xfId="0" applyNumberFormat="1" applyFont="1" applyFill="1" applyBorder="1" applyAlignment="1">
      <alignment horizontal="center" vertical="center" textRotation="255" wrapText="1"/>
    </xf>
    <xf numFmtId="3" fontId="25" fillId="5" borderId="40" xfId="2" applyNumberFormat="1" applyFont="1" applyFill="1" applyBorder="1" applyAlignment="1">
      <alignment horizontal="center" vertical="center"/>
    </xf>
    <xf numFmtId="3" fontId="25" fillId="5" borderId="41" xfId="2" applyNumberFormat="1" applyFont="1" applyFill="1" applyBorder="1" applyAlignment="1">
      <alignment horizontal="center" vertical="center"/>
    </xf>
    <xf numFmtId="4" fontId="26" fillId="5" borderId="36" xfId="0" applyNumberFormat="1" applyFont="1" applyFill="1" applyBorder="1" applyAlignment="1">
      <alignment horizontal="center" vertical="center"/>
    </xf>
    <xf numFmtId="10" fontId="25" fillId="5" borderId="40" xfId="1" applyNumberFormat="1" applyFont="1" applyFill="1" applyBorder="1" applyAlignment="1">
      <alignment horizontal="center" vertical="center"/>
    </xf>
    <xf numFmtId="10" fontId="25" fillId="5" borderId="41" xfId="1" applyNumberFormat="1" applyFont="1" applyFill="1" applyBorder="1" applyAlignment="1">
      <alignment horizontal="center" vertical="center"/>
    </xf>
    <xf numFmtId="4" fontId="32" fillId="7" borderId="0" xfId="0" applyNumberFormat="1" applyFont="1" applyFill="1" applyAlignment="1">
      <alignment horizontal="center" vertical="center"/>
    </xf>
    <xf numFmtId="4" fontId="26" fillId="5" borderId="36" xfId="2" applyNumberFormat="1" applyFont="1" applyFill="1" applyBorder="1" applyAlignment="1">
      <alignment horizontal="center" vertical="center"/>
    </xf>
    <xf numFmtId="9" fontId="25" fillId="5" borderId="40" xfId="1" applyFont="1" applyFill="1" applyBorder="1" applyAlignment="1">
      <alignment horizontal="center" vertical="center"/>
    </xf>
    <xf numFmtId="9" fontId="25" fillId="5" borderId="41" xfId="1" applyFont="1" applyFill="1" applyBorder="1" applyAlignment="1">
      <alignment horizontal="center" vertical="center"/>
    </xf>
    <xf numFmtId="4" fontId="22" fillId="5" borderId="36" xfId="0" applyNumberFormat="1" applyFont="1" applyFill="1" applyBorder="1" applyAlignment="1">
      <alignment horizontal="center" vertical="center" textRotation="255" wrapText="1"/>
    </xf>
    <xf numFmtId="3" fontId="28" fillId="6" borderId="36" xfId="2" applyNumberFormat="1" applyFont="1" applyFill="1" applyBorder="1" applyAlignment="1">
      <alignment horizontal="center" vertical="center"/>
    </xf>
    <xf numFmtId="4" fontId="29" fillId="6" borderId="36" xfId="0" applyNumberFormat="1" applyFont="1" applyFill="1" applyBorder="1"/>
    <xf numFmtId="4" fontId="30" fillId="6" borderId="36" xfId="2" applyNumberFormat="1" applyFont="1" applyFill="1" applyBorder="1" applyAlignment="1">
      <alignment horizontal="center" vertical="center"/>
    </xf>
    <xf numFmtId="4" fontId="28" fillId="6" borderId="36" xfId="2" applyNumberFormat="1" applyFont="1" applyFill="1" applyBorder="1" applyAlignment="1">
      <alignment horizontal="center" vertical="center"/>
    </xf>
    <xf numFmtId="4" fontId="33" fillId="8" borderId="0" xfId="0" applyNumberFormat="1" applyFont="1" applyFill="1" applyAlignment="1">
      <alignment horizontal="center" vertical="center"/>
    </xf>
    <xf numFmtId="4" fontId="28" fillId="6" borderId="36" xfId="2" applyNumberFormat="1" applyFont="1" applyFill="1" applyBorder="1" applyAlignment="1">
      <alignment horizontal="center" vertical="center"/>
    </xf>
    <xf numFmtId="4" fontId="28" fillId="6" borderId="37" xfId="2" applyNumberFormat="1" applyFont="1" applyFill="1" applyBorder="1" applyAlignment="1">
      <alignment horizontal="center" vertical="center" textRotation="90"/>
    </xf>
    <xf numFmtId="4" fontId="28" fillId="6" borderId="38" xfId="2" applyNumberFormat="1" applyFont="1" applyFill="1" applyBorder="1" applyAlignment="1">
      <alignment horizontal="center" vertical="center" textRotation="90"/>
    </xf>
    <xf numFmtId="4" fontId="34" fillId="9" borderId="0" xfId="0" applyNumberFormat="1" applyFont="1" applyFill="1" applyAlignment="1">
      <alignment horizontal="center" vertical="center"/>
    </xf>
    <xf numFmtId="4" fontId="24" fillId="10" borderId="0" xfId="0" applyNumberFormat="1" applyFont="1" applyFill="1" applyAlignment="1">
      <alignment horizontal="center" vertical="center"/>
    </xf>
    <xf numFmtId="4" fontId="28" fillId="6" borderId="39" xfId="2" applyNumberFormat="1" applyFont="1" applyFill="1" applyBorder="1" applyAlignment="1">
      <alignment horizontal="center" vertical="center" textRotation="90"/>
    </xf>
    <xf numFmtId="3" fontId="28" fillId="6" borderId="0" xfId="2" applyNumberFormat="1" applyFont="1" applyFill="1" applyAlignment="1">
      <alignment horizontal="center" vertical="center"/>
    </xf>
    <xf numFmtId="4" fontId="21" fillId="0" borderId="0" xfId="0" applyNumberFormat="1" applyFont="1" applyAlignment="1">
      <alignment horizontal="center" vertical="center" textRotation="90"/>
    </xf>
    <xf numFmtId="4" fontId="30" fillId="6" borderId="0" xfId="2" applyNumberFormat="1" applyFont="1" applyFill="1" applyAlignment="1">
      <alignment horizontal="center" vertical="center"/>
    </xf>
    <xf numFmtId="4" fontId="28" fillId="6" borderId="0" xfId="2" applyNumberFormat="1" applyFont="1" applyFill="1" applyAlignment="1">
      <alignment horizontal="center" vertical="center"/>
    </xf>
    <xf numFmtId="4" fontId="35" fillId="11" borderId="0" xfId="0" applyNumberFormat="1" applyFont="1" applyFill="1" applyAlignment="1">
      <alignment horizontal="right"/>
    </xf>
    <xf numFmtId="4" fontId="31" fillId="6" borderId="0" xfId="0" applyNumberFormat="1" applyFont="1" applyFill="1" applyAlignment="1">
      <alignment vertical="center"/>
    </xf>
    <xf numFmtId="4" fontId="12" fillId="6" borderId="0" xfId="0" applyNumberFormat="1" applyFont="1" applyFill="1" applyAlignment="1">
      <alignment horizontal="left" vertical="center"/>
    </xf>
    <xf numFmtId="4" fontId="13" fillId="6" borderId="0" xfId="0" applyNumberFormat="1" applyFont="1" applyFill="1" applyAlignment="1">
      <alignment horizontal="left" vertical="center"/>
    </xf>
    <xf numFmtId="4" fontId="13" fillId="6" borderId="0" xfId="0" applyNumberFormat="1" applyFont="1" applyFill="1" applyAlignment="1">
      <alignment horizontal="center" vertical="center"/>
    </xf>
  </cellXfs>
  <cellStyles count="3">
    <cellStyle name="Normal" xfId="0" builtinId="0"/>
    <cellStyle name="Normal 2" xfId="2" xr:uid="{FF36BE3E-32C4-4E0D-9213-3988C9F44AB9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4D2-43AD-8028-88FA49E2D49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4D2-43AD-8028-88FA49E2D4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4D2-43AD-8028-88FA49E2D49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4D2-43AD-8028-88FA49E2D49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4D2-43AD-8028-88FA49E2D49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4D2-43AD-8028-88FA49E2D49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4D2-43AD-8028-88FA49E2D49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04D2-43AD-8028-88FA49E2D496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04D2-43AD-8028-88FA49E2D496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4D2-43AD-8028-88FA49E2D496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04D2-43AD-8028-88FA49E2D496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04D2-43AD-8028-88FA49E2D49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04D2-43AD-8028-88FA49E2D496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D2-43AD-8028-88FA49E2D496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D2-43AD-8028-88FA49E2D496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D2-43AD-8028-88FA49E2D496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D2-43AD-8028-88FA49E2D496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D2-43AD-8028-88FA49E2D496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4D2-43AD-8028-88FA49E2D496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4D2-43AD-8028-88FA49E2D496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4D2-43AD-8028-88FA49E2D496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4D2-43AD-8028-88FA49E2D496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4D2-43AD-8028-88FA49E2D496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4D2-43AD-8028-88FA49E2D496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4D2-43AD-8028-88FA49E2D49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'[1]DP8 CAIHUASI S1'!$B$35:$N$35</c:f>
              <c:numCache>
                <c:formatCode>General</c:formatCode>
                <c:ptCount val="13"/>
                <c:pt idx="0">
                  <c:v>549</c:v>
                </c:pt>
                <c:pt idx="1">
                  <c:v>94</c:v>
                </c:pt>
                <c:pt idx="2">
                  <c:v>323</c:v>
                </c:pt>
                <c:pt idx="3">
                  <c:v>0</c:v>
                </c:pt>
                <c:pt idx="4">
                  <c:v>40</c:v>
                </c:pt>
                <c:pt idx="5">
                  <c:v>268</c:v>
                </c:pt>
                <c:pt idx="6">
                  <c:v>44</c:v>
                </c:pt>
                <c:pt idx="7">
                  <c:v>110</c:v>
                </c:pt>
                <c:pt idx="8">
                  <c:v>219</c:v>
                </c:pt>
                <c:pt idx="9">
                  <c:v>313</c:v>
                </c:pt>
                <c:pt idx="10">
                  <c:v>88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4D2-43AD-8028-88FA49E2D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12A-4898-A3EF-06E1ACD304E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12A-4898-A3EF-06E1ACD304E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12A-4898-A3EF-06E1ACD304E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12A-4898-A3EF-06E1ACD304E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12A-4898-A3EF-06E1ACD304E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12A-4898-A3EF-06E1ACD304E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012A-4898-A3EF-06E1ACD304E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012A-4898-A3EF-06E1ACD304E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012A-4898-A3EF-06E1ACD304E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012A-4898-A3EF-06E1ACD304E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012A-4898-A3EF-06E1ACD304E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012A-4898-A3EF-06E1ACD304EF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012A-4898-A3EF-06E1ACD304EF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012A-4898-A3EF-06E1ACD304EF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012A-4898-A3EF-06E1ACD304EF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012A-4898-A3EF-06E1ACD304EF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012A-4898-A3EF-06E1ACD304EF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012A-4898-A3EF-06E1ACD304EF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012A-4898-A3EF-06E1ACD304EF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012A-4898-A3EF-06E1ACD304EF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012A-4898-A3EF-06E1ACD304EF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012A-4898-A3EF-06E1ACD304EF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012A-4898-A3EF-06E1ACD304EF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012A-4898-A3EF-06E1ACD304EF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2A-4898-A3EF-06E1ACD304EF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2A-4898-A3EF-06E1ACD304EF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12A-4898-A3EF-06E1ACD304EF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12A-4898-A3EF-06E1ACD304EF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12A-4898-A3EF-06E1ACD304EF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12A-4898-A3EF-06E1ACD304EF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12A-4898-A3EF-06E1ACD304EF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12A-4898-A3EF-06E1ACD304EF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12A-4898-A3EF-06E1ACD304EF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12A-4898-A3EF-06E1ACD304EF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12A-4898-A3EF-06E1ACD304EF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12A-4898-A3EF-06E1ACD304EF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12A-4898-A3EF-06E1ACD304EF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12A-4898-A3EF-06E1ACD304EF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12A-4898-A3EF-06E1ACD304EF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12A-4898-A3EF-06E1ACD304EF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12A-4898-A3EF-06E1ACD304EF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12A-4898-A3EF-06E1ACD304EF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12A-4898-A3EF-06E1ACD304EF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12A-4898-A3EF-06E1ACD304EF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12A-4898-A3EF-06E1ACD304EF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12A-4898-A3EF-06E1ACD304EF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12A-4898-A3EF-06E1ACD304EF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12A-4898-A3EF-06E1ACD304E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'[1]DP8 CAIHUASI S1'!$O$11:$O$34</c:f>
              <c:numCache>
                <c:formatCode>General</c:formatCode>
                <c:ptCount val="24"/>
                <c:pt idx="0">
                  <c:v>45</c:v>
                </c:pt>
                <c:pt idx="1">
                  <c:v>44</c:v>
                </c:pt>
                <c:pt idx="2">
                  <c:v>48</c:v>
                </c:pt>
                <c:pt idx="3">
                  <c:v>54</c:v>
                </c:pt>
                <c:pt idx="4">
                  <c:v>61</c:v>
                </c:pt>
                <c:pt idx="5">
                  <c:v>75</c:v>
                </c:pt>
                <c:pt idx="6">
                  <c:v>100</c:v>
                </c:pt>
                <c:pt idx="7">
                  <c:v>63</c:v>
                </c:pt>
                <c:pt idx="8">
                  <c:v>43</c:v>
                </c:pt>
                <c:pt idx="9">
                  <c:v>82</c:v>
                </c:pt>
                <c:pt idx="10">
                  <c:v>97</c:v>
                </c:pt>
                <c:pt idx="11">
                  <c:v>52</c:v>
                </c:pt>
                <c:pt idx="12">
                  <c:v>106</c:v>
                </c:pt>
                <c:pt idx="13">
                  <c:v>125</c:v>
                </c:pt>
                <c:pt idx="14">
                  <c:v>123</c:v>
                </c:pt>
                <c:pt idx="15">
                  <c:v>142</c:v>
                </c:pt>
                <c:pt idx="16">
                  <c:v>154</c:v>
                </c:pt>
                <c:pt idx="17">
                  <c:v>114</c:v>
                </c:pt>
                <c:pt idx="18">
                  <c:v>104</c:v>
                </c:pt>
                <c:pt idx="19">
                  <c:v>100</c:v>
                </c:pt>
                <c:pt idx="20">
                  <c:v>109</c:v>
                </c:pt>
                <c:pt idx="21">
                  <c:v>97</c:v>
                </c:pt>
                <c:pt idx="22">
                  <c:v>62</c:v>
                </c:pt>
                <c:pt idx="2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012A-4898-A3EF-06E1ACD30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202-433D-A1D9-090A1D586E3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202-433D-A1D9-090A1D586E3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202-433D-A1D9-090A1D586E33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202-433D-A1D9-090A1D586E33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202-433D-A1D9-090A1D586E33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202-433D-A1D9-090A1D586E33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202-433D-A1D9-090A1D586E33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202-433D-A1D9-090A1D586E33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202-433D-A1D9-090A1D586E33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202-433D-A1D9-090A1D586E33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202-433D-A1D9-090A1D586E33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A202-433D-A1D9-090A1D586E3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A202-433D-A1D9-090A1D586E33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02-433D-A1D9-090A1D586E33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02-433D-A1D9-090A1D586E33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02-433D-A1D9-090A1D586E33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02-433D-A1D9-090A1D586E33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02-433D-A1D9-090A1D586E33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02-433D-A1D9-090A1D586E33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02-433D-A1D9-090A1D586E33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202-433D-A1D9-090A1D586E33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202-433D-A1D9-090A1D586E33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202-433D-A1D9-090A1D586E33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202-433D-A1D9-090A1D586E33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202-433D-A1D9-090A1D586E33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'[2]DP8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'[2]DP8 CAIHUASI S1'!$B$35:$N$35</c:f>
              <c:numCache>
                <c:formatCode>General</c:formatCode>
                <c:ptCount val="13"/>
                <c:pt idx="0">
                  <c:v>642</c:v>
                </c:pt>
                <c:pt idx="1">
                  <c:v>74</c:v>
                </c:pt>
                <c:pt idx="2">
                  <c:v>273</c:v>
                </c:pt>
                <c:pt idx="3">
                  <c:v>0</c:v>
                </c:pt>
                <c:pt idx="4">
                  <c:v>48</c:v>
                </c:pt>
                <c:pt idx="5">
                  <c:v>245</c:v>
                </c:pt>
                <c:pt idx="6">
                  <c:v>20</c:v>
                </c:pt>
                <c:pt idx="7">
                  <c:v>109</c:v>
                </c:pt>
                <c:pt idx="8">
                  <c:v>135</c:v>
                </c:pt>
                <c:pt idx="9">
                  <c:v>209</c:v>
                </c:pt>
                <c:pt idx="10">
                  <c:v>42</c:v>
                </c:pt>
                <c:pt idx="11">
                  <c:v>13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202-433D-A1D9-090A1D586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B02-4BF7-B8B5-C4D1C4E3522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B02-4BF7-B8B5-C4D1C4E3522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B02-4BF7-B8B5-C4D1C4E3522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B02-4BF7-B8B5-C4D1C4E3522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B02-4BF7-B8B5-C4D1C4E3522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9B02-4BF7-B8B5-C4D1C4E3522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B02-4BF7-B8B5-C4D1C4E35224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B02-4BF7-B8B5-C4D1C4E35224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B02-4BF7-B8B5-C4D1C4E35224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B02-4BF7-B8B5-C4D1C4E35224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9B02-4BF7-B8B5-C4D1C4E35224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9B02-4BF7-B8B5-C4D1C4E35224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9B02-4BF7-B8B5-C4D1C4E35224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9B02-4BF7-B8B5-C4D1C4E35224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9B02-4BF7-B8B5-C4D1C4E35224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9B02-4BF7-B8B5-C4D1C4E35224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9B02-4BF7-B8B5-C4D1C4E35224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9B02-4BF7-B8B5-C4D1C4E35224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9B02-4BF7-B8B5-C4D1C4E35224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9B02-4BF7-B8B5-C4D1C4E35224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9B02-4BF7-B8B5-C4D1C4E35224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9B02-4BF7-B8B5-C4D1C4E35224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9B02-4BF7-B8B5-C4D1C4E35224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9B02-4BF7-B8B5-C4D1C4E35224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02-4BF7-B8B5-C4D1C4E35224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02-4BF7-B8B5-C4D1C4E35224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02-4BF7-B8B5-C4D1C4E35224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02-4BF7-B8B5-C4D1C4E35224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B02-4BF7-B8B5-C4D1C4E35224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B02-4BF7-B8B5-C4D1C4E35224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B02-4BF7-B8B5-C4D1C4E35224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B02-4BF7-B8B5-C4D1C4E35224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B02-4BF7-B8B5-C4D1C4E35224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B02-4BF7-B8B5-C4D1C4E35224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B02-4BF7-B8B5-C4D1C4E35224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B02-4BF7-B8B5-C4D1C4E35224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B02-4BF7-B8B5-C4D1C4E35224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B02-4BF7-B8B5-C4D1C4E35224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B02-4BF7-B8B5-C4D1C4E35224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B02-4BF7-B8B5-C4D1C4E35224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B02-4BF7-B8B5-C4D1C4E35224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B02-4BF7-B8B5-C4D1C4E35224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B02-4BF7-B8B5-C4D1C4E35224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B02-4BF7-B8B5-C4D1C4E35224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B02-4BF7-B8B5-C4D1C4E35224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B02-4BF7-B8B5-C4D1C4E35224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9B02-4BF7-B8B5-C4D1C4E35224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B02-4BF7-B8B5-C4D1C4E3522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'[2]DP8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'[2]DP8 CAIHUASI S1'!$O$11:$O$34</c:f>
              <c:numCache>
                <c:formatCode>General</c:formatCode>
                <c:ptCount val="24"/>
                <c:pt idx="0">
                  <c:v>51</c:v>
                </c:pt>
                <c:pt idx="1">
                  <c:v>35</c:v>
                </c:pt>
                <c:pt idx="2">
                  <c:v>38</c:v>
                </c:pt>
                <c:pt idx="3">
                  <c:v>28</c:v>
                </c:pt>
                <c:pt idx="4">
                  <c:v>38</c:v>
                </c:pt>
                <c:pt idx="5">
                  <c:v>52</c:v>
                </c:pt>
                <c:pt idx="6">
                  <c:v>49</c:v>
                </c:pt>
                <c:pt idx="7">
                  <c:v>46</c:v>
                </c:pt>
                <c:pt idx="8">
                  <c:v>75</c:v>
                </c:pt>
                <c:pt idx="9">
                  <c:v>60</c:v>
                </c:pt>
                <c:pt idx="10">
                  <c:v>76</c:v>
                </c:pt>
                <c:pt idx="11">
                  <c:v>83</c:v>
                </c:pt>
                <c:pt idx="12">
                  <c:v>103</c:v>
                </c:pt>
                <c:pt idx="13">
                  <c:v>126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139</c:v>
                </c:pt>
                <c:pt idx="18">
                  <c:v>137</c:v>
                </c:pt>
                <c:pt idx="19">
                  <c:v>66</c:v>
                </c:pt>
                <c:pt idx="20">
                  <c:v>56</c:v>
                </c:pt>
                <c:pt idx="21">
                  <c:v>69</c:v>
                </c:pt>
                <c:pt idx="22">
                  <c:v>50</c:v>
                </c:pt>
                <c:pt idx="2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B02-4BF7-B8B5-C4D1C4E35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07F-4A98-821E-8E7BDEE52DB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07F-4A98-821E-8E7BDEE52DB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07F-4A98-821E-8E7BDEE52DBA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07F-4A98-821E-8E7BDEE52DBA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07F-4A98-821E-8E7BDEE52DBA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07F-4A98-821E-8E7BDEE52DBA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07F-4A98-821E-8E7BDEE52DBA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07F-4A98-821E-8E7BDEE52DBA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07F-4A98-821E-8E7BDEE52DBA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07F-4A98-821E-8E7BDEE52DBA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07F-4A98-821E-8E7BDEE52DBA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E07F-4A98-821E-8E7BDEE52DB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E07F-4A98-821E-8E7BDEE52DBA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7F-4A98-821E-8E7BDEE52DBA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7F-4A98-821E-8E7BDEE52DBA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7F-4A98-821E-8E7BDEE52DBA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7F-4A98-821E-8E7BDEE52DBA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7F-4A98-821E-8E7BDEE52DBA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7F-4A98-821E-8E7BDEE52DBA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07F-4A98-821E-8E7BDEE52DBA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07F-4A98-821E-8E7BDEE52DBA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07F-4A98-821E-8E7BDEE52DBA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07F-4A98-821E-8E7BDEE52DBA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07F-4A98-821E-8E7BDEE52DBA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07F-4A98-821E-8E7BDEE52DB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'[3]DP8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'[3]DP8 CAIHUASI S1'!$B$35:$N$35</c:f>
              <c:numCache>
                <c:formatCode>General</c:formatCode>
                <c:ptCount val="13"/>
                <c:pt idx="0">
                  <c:v>512</c:v>
                </c:pt>
                <c:pt idx="1">
                  <c:v>90</c:v>
                </c:pt>
                <c:pt idx="2">
                  <c:v>242</c:v>
                </c:pt>
                <c:pt idx="3">
                  <c:v>4</c:v>
                </c:pt>
                <c:pt idx="4">
                  <c:v>24</c:v>
                </c:pt>
                <c:pt idx="5">
                  <c:v>307</c:v>
                </c:pt>
                <c:pt idx="6">
                  <c:v>25</c:v>
                </c:pt>
                <c:pt idx="7">
                  <c:v>101</c:v>
                </c:pt>
                <c:pt idx="8">
                  <c:v>144</c:v>
                </c:pt>
                <c:pt idx="9">
                  <c:v>156</c:v>
                </c:pt>
                <c:pt idx="10">
                  <c:v>43</c:v>
                </c:pt>
                <c:pt idx="11">
                  <c:v>13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07F-4A98-821E-8E7BDEE52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F51-4C16-BB09-125263B294E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F51-4C16-BB09-125263B294E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F51-4C16-BB09-125263B294E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F51-4C16-BB09-125263B294E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F51-4C16-BB09-125263B294E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F51-4C16-BB09-125263B294E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F51-4C16-BB09-125263B294E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DF51-4C16-BB09-125263B294E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F51-4C16-BB09-125263B294E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F51-4C16-BB09-125263B294E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F51-4C16-BB09-125263B294E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DF51-4C16-BB09-125263B294EF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DF51-4C16-BB09-125263B294EF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DF51-4C16-BB09-125263B294EF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DF51-4C16-BB09-125263B294EF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DF51-4C16-BB09-125263B294EF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DF51-4C16-BB09-125263B294EF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DF51-4C16-BB09-125263B294EF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DF51-4C16-BB09-125263B294EF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DF51-4C16-BB09-125263B294EF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DF51-4C16-BB09-125263B294EF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DF51-4C16-BB09-125263B294EF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DF51-4C16-BB09-125263B294EF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DF51-4C16-BB09-125263B294EF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51-4C16-BB09-125263B294EF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51-4C16-BB09-125263B294EF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51-4C16-BB09-125263B294EF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F51-4C16-BB09-125263B294EF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F51-4C16-BB09-125263B294EF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F51-4C16-BB09-125263B294EF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F51-4C16-BB09-125263B294EF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F51-4C16-BB09-125263B294EF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F51-4C16-BB09-125263B294EF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F51-4C16-BB09-125263B294EF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F51-4C16-BB09-125263B294EF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F51-4C16-BB09-125263B294EF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F51-4C16-BB09-125263B294EF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F51-4C16-BB09-125263B294EF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F51-4C16-BB09-125263B294EF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F51-4C16-BB09-125263B294EF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F51-4C16-BB09-125263B294EF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F51-4C16-BB09-125263B294EF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F51-4C16-BB09-125263B294EF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F51-4C16-BB09-125263B294EF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F51-4C16-BB09-125263B294EF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F51-4C16-BB09-125263B294EF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F51-4C16-BB09-125263B294EF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F51-4C16-BB09-125263B294E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'[3]DP8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'[3]DP8 CAIHUASI S1'!$O$11:$O$34</c:f>
              <c:numCache>
                <c:formatCode>General</c:formatCode>
                <c:ptCount val="24"/>
                <c:pt idx="0">
                  <c:v>45</c:v>
                </c:pt>
                <c:pt idx="1">
                  <c:v>39</c:v>
                </c:pt>
                <c:pt idx="2">
                  <c:v>52</c:v>
                </c:pt>
                <c:pt idx="3">
                  <c:v>52</c:v>
                </c:pt>
                <c:pt idx="4">
                  <c:v>53</c:v>
                </c:pt>
                <c:pt idx="5">
                  <c:v>68</c:v>
                </c:pt>
                <c:pt idx="6">
                  <c:v>21</c:v>
                </c:pt>
                <c:pt idx="7">
                  <c:v>29</c:v>
                </c:pt>
                <c:pt idx="8">
                  <c:v>47</c:v>
                </c:pt>
                <c:pt idx="9">
                  <c:v>40</c:v>
                </c:pt>
                <c:pt idx="10">
                  <c:v>52</c:v>
                </c:pt>
                <c:pt idx="11">
                  <c:v>75</c:v>
                </c:pt>
                <c:pt idx="12">
                  <c:v>67</c:v>
                </c:pt>
                <c:pt idx="13">
                  <c:v>105</c:v>
                </c:pt>
                <c:pt idx="14">
                  <c:v>68</c:v>
                </c:pt>
                <c:pt idx="15">
                  <c:v>102</c:v>
                </c:pt>
                <c:pt idx="16">
                  <c:v>147</c:v>
                </c:pt>
                <c:pt idx="17">
                  <c:v>156</c:v>
                </c:pt>
                <c:pt idx="18">
                  <c:v>74</c:v>
                </c:pt>
                <c:pt idx="19">
                  <c:v>83</c:v>
                </c:pt>
                <c:pt idx="20">
                  <c:v>81</c:v>
                </c:pt>
                <c:pt idx="21">
                  <c:v>51</c:v>
                </c:pt>
                <c:pt idx="22">
                  <c:v>114</c:v>
                </c:pt>
                <c:pt idx="2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F51-4C16-BB09-125263B29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039-4847-9397-8EA2D662F90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039-4847-9397-8EA2D662F90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039-4847-9397-8EA2D662F90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039-4847-9397-8EA2D662F90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039-4847-9397-8EA2D662F90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039-4847-9397-8EA2D662F90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039-4847-9397-8EA2D662F90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039-4847-9397-8EA2D662F90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039-4847-9397-8EA2D662F90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039-4847-9397-8EA2D662F90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039-4847-9397-8EA2D662F90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A039-4847-9397-8EA2D662F90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A039-4847-9397-8EA2D662F90F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39-4847-9397-8EA2D662F90F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39-4847-9397-8EA2D662F90F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39-4847-9397-8EA2D662F90F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39-4847-9397-8EA2D662F90F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039-4847-9397-8EA2D662F90F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039-4847-9397-8EA2D662F90F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039-4847-9397-8EA2D662F90F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039-4847-9397-8EA2D662F90F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039-4847-9397-8EA2D662F90F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039-4847-9397-8EA2D662F90F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039-4847-9397-8EA2D662F90F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039-4847-9397-8EA2D662F90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'[4]DP8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'[4]DP8 CAIHUASI S1'!$B$35:$N$35</c:f>
              <c:numCache>
                <c:formatCode>General</c:formatCode>
                <c:ptCount val="13"/>
                <c:pt idx="0">
                  <c:v>369</c:v>
                </c:pt>
                <c:pt idx="1">
                  <c:v>64</c:v>
                </c:pt>
                <c:pt idx="2">
                  <c:v>240</c:v>
                </c:pt>
                <c:pt idx="3">
                  <c:v>1</c:v>
                </c:pt>
                <c:pt idx="4">
                  <c:v>44</c:v>
                </c:pt>
                <c:pt idx="5">
                  <c:v>254</c:v>
                </c:pt>
                <c:pt idx="6">
                  <c:v>22</c:v>
                </c:pt>
                <c:pt idx="7">
                  <c:v>113</c:v>
                </c:pt>
                <c:pt idx="8">
                  <c:v>194</c:v>
                </c:pt>
                <c:pt idx="9">
                  <c:v>203</c:v>
                </c:pt>
                <c:pt idx="10">
                  <c:v>41</c:v>
                </c:pt>
                <c:pt idx="11">
                  <c:v>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039-4847-9397-8EA2D662F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31E-49BD-B2A4-2DFF36BE1C9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31E-49BD-B2A4-2DFF36BE1C9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31E-49BD-B2A4-2DFF36BE1C9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31E-49BD-B2A4-2DFF36BE1C9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31E-49BD-B2A4-2DFF36BE1C9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731E-49BD-B2A4-2DFF36BE1C9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731E-49BD-B2A4-2DFF36BE1C90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731E-49BD-B2A4-2DFF36BE1C90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731E-49BD-B2A4-2DFF36BE1C90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731E-49BD-B2A4-2DFF36BE1C9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731E-49BD-B2A4-2DFF36BE1C90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731E-49BD-B2A4-2DFF36BE1C90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731E-49BD-B2A4-2DFF36BE1C90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731E-49BD-B2A4-2DFF36BE1C90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731E-49BD-B2A4-2DFF36BE1C90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731E-49BD-B2A4-2DFF36BE1C90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731E-49BD-B2A4-2DFF36BE1C90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731E-49BD-B2A4-2DFF36BE1C90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731E-49BD-B2A4-2DFF36BE1C90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731E-49BD-B2A4-2DFF36BE1C90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731E-49BD-B2A4-2DFF36BE1C90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731E-49BD-B2A4-2DFF36BE1C90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731E-49BD-B2A4-2DFF36BE1C90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731E-49BD-B2A4-2DFF36BE1C90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1E-49BD-B2A4-2DFF36BE1C90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1E-49BD-B2A4-2DFF36BE1C90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1E-49BD-B2A4-2DFF36BE1C90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1E-49BD-B2A4-2DFF36BE1C90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1E-49BD-B2A4-2DFF36BE1C90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1E-49BD-B2A4-2DFF36BE1C90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1E-49BD-B2A4-2DFF36BE1C90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1E-49BD-B2A4-2DFF36BE1C90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1E-49BD-B2A4-2DFF36BE1C90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1E-49BD-B2A4-2DFF36BE1C90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31E-49BD-B2A4-2DFF36BE1C90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31E-49BD-B2A4-2DFF36BE1C90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31E-49BD-B2A4-2DFF36BE1C90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1E-49BD-B2A4-2DFF36BE1C90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31E-49BD-B2A4-2DFF36BE1C90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1E-49BD-B2A4-2DFF36BE1C90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1E-49BD-B2A4-2DFF36BE1C90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31E-49BD-B2A4-2DFF36BE1C90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31E-49BD-B2A4-2DFF36BE1C90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31E-49BD-B2A4-2DFF36BE1C90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31E-49BD-B2A4-2DFF36BE1C90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31E-49BD-B2A4-2DFF36BE1C90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31E-49BD-B2A4-2DFF36BE1C90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31E-49BD-B2A4-2DFF36BE1C9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'[4]DP8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'[4]DP8 CAIHUASI S1'!$O$11:$O$34</c:f>
              <c:numCache>
                <c:formatCode>General</c:formatCode>
                <c:ptCount val="24"/>
                <c:pt idx="0">
                  <c:v>49</c:v>
                </c:pt>
                <c:pt idx="1">
                  <c:v>47</c:v>
                </c:pt>
                <c:pt idx="2">
                  <c:v>48</c:v>
                </c:pt>
                <c:pt idx="3">
                  <c:v>22</c:v>
                </c:pt>
                <c:pt idx="4">
                  <c:v>21</c:v>
                </c:pt>
                <c:pt idx="5">
                  <c:v>28</c:v>
                </c:pt>
                <c:pt idx="6">
                  <c:v>40</c:v>
                </c:pt>
                <c:pt idx="7">
                  <c:v>49</c:v>
                </c:pt>
                <c:pt idx="8">
                  <c:v>27</c:v>
                </c:pt>
                <c:pt idx="9">
                  <c:v>66</c:v>
                </c:pt>
                <c:pt idx="10">
                  <c:v>59</c:v>
                </c:pt>
                <c:pt idx="11">
                  <c:v>50</c:v>
                </c:pt>
                <c:pt idx="12">
                  <c:v>73</c:v>
                </c:pt>
                <c:pt idx="13">
                  <c:v>89</c:v>
                </c:pt>
                <c:pt idx="14">
                  <c:v>100</c:v>
                </c:pt>
                <c:pt idx="15">
                  <c:v>56</c:v>
                </c:pt>
                <c:pt idx="16">
                  <c:v>104</c:v>
                </c:pt>
                <c:pt idx="17">
                  <c:v>105</c:v>
                </c:pt>
                <c:pt idx="18">
                  <c:v>111</c:v>
                </c:pt>
                <c:pt idx="19">
                  <c:v>99</c:v>
                </c:pt>
                <c:pt idx="20">
                  <c:v>63</c:v>
                </c:pt>
                <c:pt idx="21">
                  <c:v>72</c:v>
                </c:pt>
                <c:pt idx="22">
                  <c:v>78</c:v>
                </c:pt>
                <c:pt idx="2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731E-49BD-B2A4-2DFF36BE1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87B-453D-A17F-98A71774334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87B-453D-A17F-98A71774334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87B-453D-A17F-98A71774334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87B-453D-A17F-98A71774334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87B-453D-A17F-98A71774334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87B-453D-A17F-98A717743342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87B-453D-A17F-98A717743342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87B-453D-A17F-98A717743342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87B-453D-A17F-98A717743342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87B-453D-A17F-98A717743342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87B-453D-A17F-98A717743342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B87B-453D-A17F-98A717743342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B87B-453D-A17F-98A717743342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7B-453D-A17F-98A717743342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7B-453D-A17F-98A717743342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7B-453D-A17F-98A717743342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7B-453D-A17F-98A717743342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7B-453D-A17F-98A717743342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7B-453D-A17F-98A717743342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87B-453D-A17F-98A717743342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87B-453D-A17F-98A717743342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87B-453D-A17F-98A717743342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87B-453D-A17F-98A717743342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87B-453D-A17F-98A717743342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87B-453D-A17F-98A717743342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'[5]DP8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'[5]DP8 CAIHUASI S1'!$B$35:$N$35</c:f>
              <c:numCache>
                <c:formatCode>General</c:formatCode>
                <c:ptCount val="13"/>
                <c:pt idx="0">
                  <c:v>373</c:v>
                </c:pt>
                <c:pt idx="1">
                  <c:v>77</c:v>
                </c:pt>
                <c:pt idx="2">
                  <c:v>230</c:v>
                </c:pt>
                <c:pt idx="3">
                  <c:v>1</c:v>
                </c:pt>
                <c:pt idx="4">
                  <c:v>45</c:v>
                </c:pt>
                <c:pt idx="5">
                  <c:v>316</c:v>
                </c:pt>
                <c:pt idx="6">
                  <c:v>34</c:v>
                </c:pt>
                <c:pt idx="7">
                  <c:v>159</c:v>
                </c:pt>
                <c:pt idx="8">
                  <c:v>194</c:v>
                </c:pt>
                <c:pt idx="9">
                  <c:v>302</c:v>
                </c:pt>
                <c:pt idx="10">
                  <c:v>100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87B-453D-A17F-98A717743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775-475A-8C85-59BB38810F7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775-475A-8C85-59BB38810F7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775-475A-8C85-59BB38810F7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775-475A-8C85-59BB38810F7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775-475A-8C85-59BB38810F7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775-475A-8C85-59BB38810F7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775-475A-8C85-59BB38810F7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D775-475A-8C85-59BB38810F76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775-475A-8C85-59BB38810F76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775-475A-8C85-59BB38810F76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D775-475A-8C85-59BB38810F76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D775-475A-8C85-59BB38810F76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D775-475A-8C85-59BB38810F76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D775-475A-8C85-59BB38810F76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D775-475A-8C85-59BB38810F76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D775-475A-8C85-59BB38810F76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D775-475A-8C85-59BB38810F76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D775-475A-8C85-59BB38810F76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D775-475A-8C85-59BB38810F76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D775-475A-8C85-59BB38810F76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D775-475A-8C85-59BB38810F76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D775-475A-8C85-59BB38810F76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D775-475A-8C85-59BB38810F76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D775-475A-8C85-59BB38810F76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75-475A-8C85-59BB38810F76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75-475A-8C85-59BB38810F76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75-475A-8C85-59BB38810F76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75-475A-8C85-59BB38810F76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75-475A-8C85-59BB38810F76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75-475A-8C85-59BB38810F76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75-475A-8C85-59BB38810F76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775-475A-8C85-59BB38810F76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775-475A-8C85-59BB38810F76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775-475A-8C85-59BB38810F76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775-475A-8C85-59BB38810F76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775-475A-8C85-59BB38810F76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775-475A-8C85-59BB38810F76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775-475A-8C85-59BB38810F76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775-475A-8C85-59BB38810F76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775-475A-8C85-59BB38810F76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775-475A-8C85-59BB38810F76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775-475A-8C85-59BB38810F76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775-475A-8C85-59BB38810F76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775-475A-8C85-59BB38810F76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775-475A-8C85-59BB38810F76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775-475A-8C85-59BB38810F76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775-475A-8C85-59BB38810F76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775-475A-8C85-59BB38810F7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'[5]DP8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'[5]DP8 CAIHUASI S1'!$O$11:$O$34</c:f>
              <c:numCache>
                <c:formatCode>General</c:formatCode>
                <c:ptCount val="24"/>
                <c:pt idx="0">
                  <c:v>77</c:v>
                </c:pt>
                <c:pt idx="1">
                  <c:v>90</c:v>
                </c:pt>
                <c:pt idx="2">
                  <c:v>44</c:v>
                </c:pt>
                <c:pt idx="3">
                  <c:v>66</c:v>
                </c:pt>
                <c:pt idx="4">
                  <c:v>26</c:v>
                </c:pt>
                <c:pt idx="5">
                  <c:v>46</c:v>
                </c:pt>
                <c:pt idx="6">
                  <c:v>46</c:v>
                </c:pt>
                <c:pt idx="7">
                  <c:v>46</c:v>
                </c:pt>
                <c:pt idx="8">
                  <c:v>64</c:v>
                </c:pt>
                <c:pt idx="9">
                  <c:v>68</c:v>
                </c:pt>
                <c:pt idx="10">
                  <c:v>106</c:v>
                </c:pt>
                <c:pt idx="11">
                  <c:v>74</c:v>
                </c:pt>
                <c:pt idx="12">
                  <c:v>77</c:v>
                </c:pt>
                <c:pt idx="13">
                  <c:v>95</c:v>
                </c:pt>
                <c:pt idx="14">
                  <c:v>127</c:v>
                </c:pt>
                <c:pt idx="15">
                  <c:v>111</c:v>
                </c:pt>
                <c:pt idx="16">
                  <c:v>115</c:v>
                </c:pt>
                <c:pt idx="17">
                  <c:v>89</c:v>
                </c:pt>
                <c:pt idx="18">
                  <c:v>85</c:v>
                </c:pt>
                <c:pt idx="19">
                  <c:v>70</c:v>
                </c:pt>
                <c:pt idx="20">
                  <c:v>145</c:v>
                </c:pt>
                <c:pt idx="21">
                  <c:v>60</c:v>
                </c:pt>
                <c:pt idx="22">
                  <c:v>55</c:v>
                </c:pt>
                <c:pt idx="2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775-475A-8C85-59BB38810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CB2-4785-9860-1FD700DEEB2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CB2-4785-9860-1FD700DEEB2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CB2-4785-9860-1FD700DEEB2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CB2-4785-9860-1FD700DEEB2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CB2-4785-9860-1FD700DEEB2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5CB2-4785-9860-1FD700DEEB2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CB2-4785-9860-1FD700DEEB24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CB2-4785-9860-1FD700DEEB24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CB2-4785-9860-1FD700DEEB24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CB2-4785-9860-1FD700DEEB24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CB2-4785-9860-1FD700DEEB24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5CB2-4785-9860-1FD700DEEB24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5CB2-4785-9860-1FD700DEEB24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B2-4785-9860-1FD700DEEB24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B2-4785-9860-1FD700DEEB24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B2-4785-9860-1FD700DEEB24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CB2-4785-9860-1FD700DEEB24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CB2-4785-9860-1FD700DEEB24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B2-4785-9860-1FD700DEEB24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CB2-4785-9860-1FD700DEEB24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CB2-4785-9860-1FD700DEEB24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CB2-4785-9860-1FD700DEEB24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CB2-4785-9860-1FD700DEEB24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CB2-4785-9860-1FD700DEEB24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CB2-4785-9860-1FD700DEEB2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'[6]DP8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'[6]DP8 CAIHUASI S1'!$B$35:$N$35</c:f>
              <c:numCache>
                <c:formatCode>General</c:formatCode>
                <c:ptCount val="13"/>
                <c:pt idx="0">
                  <c:v>359</c:v>
                </c:pt>
                <c:pt idx="1">
                  <c:v>82</c:v>
                </c:pt>
                <c:pt idx="2">
                  <c:v>260</c:v>
                </c:pt>
                <c:pt idx="3">
                  <c:v>1</c:v>
                </c:pt>
                <c:pt idx="4">
                  <c:v>46</c:v>
                </c:pt>
                <c:pt idx="5">
                  <c:v>315</c:v>
                </c:pt>
                <c:pt idx="6">
                  <c:v>26</c:v>
                </c:pt>
                <c:pt idx="7">
                  <c:v>121</c:v>
                </c:pt>
                <c:pt idx="8">
                  <c:v>237</c:v>
                </c:pt>
                <c:pt idx="9">
                  <c:v>280</c:v>
                </c:pt>
                <c:pt idx="10">
                  <c:v>74</c:v>
                </c:pt>
                <c:pt idx="11">
                  <c:v>6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CB2-4785-9860-1FD700DEE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812-4923-B95B-70B936A26E8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812-4923-B95B-70B936A26E8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812-4923-B95B-70B936A26E8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812-4923-B95B-70B936A26E8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812-4923-B95B-70B936A26E8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812-4923-B95B-70B936A26E8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812-4923-B95B-70B936A26E8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812-4923-B95B-70B936A26E8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812-4923-B95B-70B936A26E8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812-4923-B95B-70B936A26E8F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812-4923-B95B-70B936A26E8F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E812-4923-B95B-70B936A26E8F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E812-4923-B95B-70B936A26E8F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E812-4923-B95B-70B936A26E8F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E812-4923-B95B-70B936A26E8F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E812-4923-B95B-70B936A26E8F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E812-4923-B95B-70B936A26E8F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E812-4923-B95B-70B936A26E8F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E812-4923-B95B-70B936A26E8F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E812-4923-B95B-70B936A26E8F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E812-4923-B95B-70B936A26E8F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E812-4923-B95B-70B936A26E8F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E812-4923-B95B-70B936A26E8F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E812-4923-B95B-70B936A26E8F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12-4923-B95B-70B936A26E8F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12-4923-B95B-70B936A26E8F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12-4923-B95B-70B936A26E8F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12-4923-B95B-70B936A26E8F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12-4923-B95B-70B936A26E8F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12-4923-B95B-70B936A26E8F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812-4923-B95B-70B936A26E8F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812-4923-B95B-70B936A26E8F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812-4923-B95B-70B936A26E8F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812-4923-B95B-70B936A26E8F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812-4923-B95B-70B936A26E8F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812-4923-B95B-70B936A26E8F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812-4923-B95B-70B936A26E8F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812-4923-B95B-70B936A26E8F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812-4923-B95B-70B936A26E8F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812-4923-B95B-70B936A26E8F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812-4923-B95B-70B936A26E8F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812-4923-B95B-70B936A26E8F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812-4923-B95B-70B936A26E8F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812-4923-B95B-70B936A26E8F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812-4923-B95B-70B936A26E8F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812-4923-B95B-70B936A26E8F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812-4923-B95B-70B936A26E8F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812-4923-B95B-70B936A26E8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'[6]DP8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'[6]DP8 CAIHUASI S1'!$O$11:$O$34</c:f>
              <c:numCache>
                <c:formatCode>General</c:formatCode>
                <c:ptCount val="24"/>
                <c:pt idx="0">
                  <c:v>74</c:v>
                </c:pt>
                <c:pt idx="1">
                  <c:v>75</c:v>
                </c:pt>
                <c:pt idx="2">
                  <c:v>36</c:v>
                </c:pt>
                <c:pt idx="3">
                  <c:v>17</c:v>
                </c:pt>
                <c:pt idx="4">
                  <c:v>18</c:v>
                </c:pt>
                <c:pt idx="5">
                  <c:v>36</c:v>
                </c:pt>
                <c:pt idx="6">
                  <c:v>49</c:v>
                </c:pt>
                <c:pt idx="7">
                  <c:v>44</c:v>
                </c:pt>
                <c:pt idx="8">
                  <c:v>74</c:v>
                </c:pt>
                <c:pt idx="9">
                  <c:v>42</c:v>
                </c:pt>
                <c:pt idx="10">
                  <c:v>65</c:v>
                </c:pt>
                <c:pt idx="11">
                  <c:v>77</c:v>
                </c:pt>
                <c:pt idx="12">
                  <c:v>83</c:v>
                </c:pt>
                <c:pt idx="13">
                  <c:v>96</c:v>
                </c:pt>
                <c:pt idx="14">
                  <c:v>82</c:v>
                </c:pt>
                <c:pt idx="15">
                  <c:v>124</c:v>
                </c:pt>
                <c:pt idx="16">
                  <c:v>118</c:v>
                </c:pt>
                <c:pt idx="17">
                  <c:v>107</c:v>
                </c:pt>
                <c:pt idx="18">
                  <c:v>69</c:v>
                </c:pt>
                <c:pt idx="19">
                  <c:v>112</c:v>
                </c:pt>
                <c:pt idx="20">
                  <c:v>94</c:v>
                </c:pt>
                <c:pt idx="21">
                  <c:v>119</c:v>
                </c:pt>
                <c:pt idx="22">
                  <c:v>100</c:v>
                </c:pt>
                <c:pt idx="2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812-4923-B95B-70B936A26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EC5-4C1E-8639-CF5495F3BC5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EC5-4C1E-8639-CF5495F3BC5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EC5-4C1E-8639-CF5495F3BC5D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EC5-4C1E-8639-CF5495F3BC5D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FEC5-4C1E-8639-CF5495F3BC5D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FEC5-4C1E-8639-CF5495F3BC5D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FEC5-4C1E-8639-CF5495F3BC5D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FEC5-4C1E-8639-CF5495F3BC5D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FEC5-4C1E-8639-CF5495F3BC5D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FEC5-4C1E-8639-CF5495F3BC5D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FEC5-4C1E-8639-CF5495F3BC5D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FEC5-4C1E-8639-CF5495F3BC5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FEC5-4C1E-8639-CF5495F3BC5D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C5-4C1E-8639-CF5495F3BC5D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C5-4C1E-8639-CF5495F3BC5D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C5-4C1E-8639-CF5495F3BC5D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EC5-4C1E-8639-CF5495F3BC5D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EC5-4C1E-8639-CF5495F3BC5D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EC5-4C1E-8639-CF5495F3BC5D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EC5-4C1E-8639-CF5495F3BC5D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EC5-4C1E-8639-CF5495F3BC5D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EC5-4C1E-8639-CF5495F3BC5D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EC5-4C1E-8639-CF5495F3BC5D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EC5-4C1E-8639-CF5495F3BC5D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EC5-4C1E-8639-CF5495F3BC5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'[1]DP8 CAIHUASI S1'!$B$35:$N$35</c:f>
              <c:numCache>
                <c:formatCode>General</c:formatCode>
                <c:ptCount val="13"/>
                <c:pt idx="0">
                  <c:v>549</c:v>
                </c:pt>
                <c:pt idx="1">
                  <c:v>94</c:v>
                </c:pt>
                <c:pt idx="2">
                  <c:v>323</c:v>
                </c:pt>
                <c:pt idx="3">
                  <c:v>0</c:v>
                </c:pt>
                <c:pt idx="4">
                  <c:v>40</c:v>
                </c:pt>
                <c:pt idx="5">
                  <c:v>268</c:v>
                </c:pt>
                <c:pt idx="6">
                  <c:v>44</c:v>
                </c:pt>
                <c:pt idx="7">
                  <c:v>110</c:v>
                </c:pt>
                <c:pt idx="8">
                  <c:v>219</c:v>
                </c:pt>
                <c:pt idx="9">
                  <c:v>313</c:v>
                </c:pt>
                <c:pt idx="10">
                  <c:v>88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EC5-4C1E-8639-CF5495F3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7C7-4A80-BBFF-9E3E311F32A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7C7-4A80-BBFF-9E3E311F32A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7C7-4A80-BBFF-9E3E311F32A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7C7-4A80-BBFF-9E3E311F32A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7C7-4A80-BBFF-9E3E311F32A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57C7-4A80-BBFF-9E3E311F32A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7C7-4A80-BBFF-9E3E311F32A4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7C7-4A80-BBFF-9E3E311F32A4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7C7-4A80-BBFF-9E3E311F32A4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7C7-4A80-BBFF-9E3E311F32A4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7C7-4A80-BBFF-9E3E311F32A4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57C7-4A80-BBFF-9E3E311F32A4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57C7-4A80-BBFF-9E3E311F32A4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57C7-4A80-BBFF-9E3E311F32A4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57C7-4A80-BBFF-9E3E311F32A4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57C7-4A80-BBFF-9E3E311F32A4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57C7-4A80-BBFF-9E3E311F32A4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57C7-4A80-BBFF-9E3E311F32A4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57C7-4A80-BBFF-9E3E311F32A4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57C7-4A80-BBFF-9E3E311F32A4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57C7-4A80-BBFF-9E3E311F32A4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57C7-4A80-BBFF-9E3E311F32A4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57C7-4A80-BBFF-9E3E311F32A4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57C7-4A80-BBFF-9E3E311F32A4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C7-4A80-BBFF-9E3E311F32A4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C7-4A80-BBFF-9E3E311F32A4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C7-4A80-BBFF-9E3E311F32A4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C7-4A80-BBFF-9E3E311F32A4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C7-4A80-BBFF-9E3E311F32A4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C7-4A80-BBFF-9E3E311F32A4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7C7-4A80-BBFF-9E3E311F32A4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C7-4A80-BBFF-9E3E311F32A4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C7-4A80-BBFF-9E3E311F32A4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7C7-4A80-BBFF-9E3E311F32A4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7C7-4A80-BBFF-9E3E311F32A4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7C7-4A80-BBFF-9E3E311F32A4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7C7-4A80-BBFF-9E3E311F32A4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7C7-4A80-BBFF-9E3E311F32A4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7C7-4A80-BBFF-9E3E311F32A4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7C7-4A80-BBFF-9E3E311F32A4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7C7-4A80-BBFF-9E3E311F32A4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7C7-4A80-BBFF-9E3E311F32A4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7C7-4A80-BBFF-9E3E311F32A4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7C7-4A80-BBFF-9E3E311F32A4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7C7-4A80-BBFF-9E3E311F32A4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7C7-4A80-BBFF-9E3E311F32A4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7C7-4A80-BBFF-9E3E311F32A4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7C7-4A80-BBFF-9E3E311F32A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'[1]DP8 CAIHUASI S1'!$O$11:$O$34</c:f>
              <c:numCache>
                <c:formatCode>General</c:formatCode>
                <c:ptCount val="24"/>
                <c:pt idx="0">
                  <c:v>45</c:v>
                </c:pt>
                <c:pt idx="1">
                  <c:v>44</c:v>
                </c:pt>
                <c:pt idx="2">
                  <c:v>48</c:v>
                </c:pt>
                <c:pt idx="3">
                  <c:v>54</c:v>
                </c:pt>
                <c:pt idx="4">
                  <c:v>61</c:v>
                </c:pt>
                <c:pt idx="5">
                  <c:v>75</c:v>
                </c:pt>
                <c:pt idx="6">
                  <c:v>100</c:v>
                </c:pt>
                <c:pt idx="7">
                  <c:v>63</c:v>
                </c:pt>
                <c:pt idx="8">
                  <c:v>43</c:v>
                </c:pt>
                <c:pt idx="9">
                  <c:v>82</c:v>
                </c:pt>
                <c:pt idx="10">
                  <c:v>97</c:v>
                </c:pt>
                <c:pt idx="11">
                  <c:v>52</c:v>
                </c:pt>
                <c:pt idx="12">
                  <c:v>106</c:v>
                </c:pt>
                <c:pt idx="13">
                  <c:v>125</c:v>
                </c:pt>
                <c:pt idx="14">
                  <c:v>123</c:v>
                </c:pt>
                <c:pt idx="15">
                  <c:v>142</c:v>
                </c:pt>
                <c:pt idx="16">
                  <c:v>154</c:v>
                </c:pt>
                <c:pt idx="17">
                  <c:v>114</c:v>
                </c:pt>
                <c:pt idx="18">
                  <c:v>104</c:v>
                </c:pt>
                <c:pt idx="19">
                  <c:v>100</c:v>
                </c:pt>
                <c:pt idx="20">
                  <c:v>109</c:v>
                </c:pt>
                <c:pt idx="21">
                  <c:v>97</c:v>
                </c:pt>
                <c:pt idx="22">
                  <c:v>62</c:v>
                </c:pt>
                <c:pt idx="2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57C7-4A80-BBFF-9E3E311F3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Tipo de Vehículo</a:t>
            </a:r>
          </a:p>
        </c:rich>
      </c:tx>
      <c:layout>
        <c:manualLayout>
          <c:xMode val="edge"/>
          <c:yMode val="edge"/>
          <c:x val="0.2612182852143482"/>
          <c:y val="1.36986301369863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057709613052154"/>
          <c:y val="0.17808219178082191"/>
          <c:w val="0.60577017880198758"/>
          <c:h val="0.7150684931506848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FE4-4F9E-97DF-BB235EB1639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FE4-4F9E-97DF-BB235EB1639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FE4-4F9E-97DF-BB235EB1639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FE4-4F9E-97DF-BB235EB1639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FE4-4F9E-97DF-BB235EB1639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FE4-4F9E-97DF-BB235EB1639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FE4-4F9E-97DF-BB235EB1639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FE4-4F9E-97DF-BB235EB1639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FE4-4F9E-97DF-BB235EB1639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FE4-4F9E-97DF-BB235EB1639B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FE4-4F9E-97DF-BB235EB1639B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BFE4-4F9E-97DF-BB235EB1639B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7-BFE4-4F9E-97DF-BB235EB1639B}"/>
              </c:ext>
            </c:extLst>
          </c:dPt>
          <c:dLbls>
            <c:dLbl>
              <c:idx val="0"/>
              <c:layout>
                <c:manualLayout>
                  <c:x val="5.8009933027724347E-3"/>
                  <c:y val="-4.29879552727141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E4-4F9E-97DF-BB235EB1639B}"/>
                </c:ext>
              </c:extLst>
            </c:dLbl>
            <c:dLbl>
              <c:idx val="1"/>
              <c:layout>
                <c:manualLayout>
                  <c:x val="-9.1339299668984613E-3"/>
                  <c:y val="-0.2050399453492970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E4-4F9E-97DF-BB235EB1639B}"/>
                </c:ext>
              </c:extLst>
            </c:dLbl>
            <c:dLbl>
              <c:idx val="2"/>
              <c:layout>
                <c:manualLayout>
                  <c:x val="2.5396860916339092E-2"/>
                  <c:y val="-5.97890195232445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E4-4F9E-97DF-BB235EB1639B}"/>
                </c:ext>
              </c:extLst>
            </c:dLbl>
            <c:dLbl>
              <c:idx val="3"/>
              <c:layout>
                <c:manualLayout>
                  <c:x val="2.4935680060724226E-2"/>
                  <c:y val="3.592679682163017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E4-4F9E-97DF-BB235EB1639B}"/>
                </c:ext>
              </c:extLst>
            </c:dLbl>
            <c:dLbl>
              <c:idx val="4"/>
              <c:layout>
                <c:manualLayout>
                  <c:x val="1.8596720758788772E-2"/>
                  <c:y val="6.51036565634775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FE4-4F9E-97DF-BB235EB1639B}"/>
                </c:ext>
              </c:extLst>
            </c:dLbl>
            <c:dLbl>
              <c:idx val="5"/>
              <c:layout>
                <c:manualLayout>
                  <c:x val="-8.1370940744427949E-3"/>
                  <c:y val="4.874066084205230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FE4-4F9E-97DF-BB235EB1639B}"/>
                </c:ext>
              </c:extLst>
            </c:dLbl>
            <c:dLbl>
              <c:idx val="6"/>
              <c:layout>
                <c:manualLayout>
                  <c:x val="-1.0992704928157019E-2"/>
                  <c:y val="7.405429115881058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FE4-4F9E-97DF-BB235EB1639B}"/>
                </c:ext>
              </c:extLst>
            </c:dLbl>
            <c:dLbl>
              <c:idx val="7"/>
              <c:layout>
                <c:manualLayout>
                  <c:x val="-1.036536758386666E-2"/>
                  <c:y val="1.818631575162691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FE4-4F9E-97DF-BB235EB1639B}"/>
                </c:ext>
              </c:extLst>
            </c:dLbl>
            <c:dLbl>
              <c:idx val="8"/>
              <c:layout>
                <c:manualLayout>
                  <c:x val="8.1888984185869949E-3"/>
                  <c:y val="5.385050156401680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FE4-4F9E-97DF-BB235EB1639B}"/>
                </c:ext>
              </c:extLst>
            </c:dLbl>
            <c:dLbl>
              <c:idx val="9"/>
              <c:layout>
                <c:manualLayout>
                  <c:x val="2.8873291756128353E-2"/>
                  <c:y val="-6.652888936828102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FE4-4F9E-97DF-BB235EB1639B}"/>
                </c:ext>
              </c:extLst>
            </c:dLbl>
            <c:dLbl>
              <c:idx val="10"/>
              <c:layout>
                <c:manualLayout>
                  <c:x val="-1.9718202453533375E-2"/>
                  <c:y val="-4.190817243734943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FE4-4F9E-97DF-BB235EB1639B}"/>
                </c:ext>
              </c:extLst>
            </c:dLbl>
            <c:dLbl>
              <c:idx val="11"/>
              <c:layout>
                <c:manualLayout>
                  <c:x val="2.5538704812759029E-2"/>
                  <c:y val="-4.464789846474671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FE4-4F9E-97DF-BB235EB1639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'[7]DP8 CAIHUASI S1'!$B$10:$N$10</c:f>
              <c:strCache>
                <c:ptCount val="13"/>
                <c:pt idx="0">
                  <c:v>AUTOMÓVILES VAGONETAS Y JEEP</c:v>
                </c:pt>
                <c:pt idx="1">
                  <c:v>CAMIONETAS</c:v>
                </c:pt>
                <c:pt idx="2">
                  <c:v>MINIBUSES</c:v>
                </c:pt>
                <c:pt idx="3">
                  <c:v>MICROBUSES
(DOS EJES)</c:v>
                </c:pt>
                <c:pt idx="4">
                  <c:v>BÚS MEDIANO
(DOS EJES)</c:v>
                </c:pt>
                <c:pt idx="5">
                  <c:v>BÚS GRANDE 
(DOS O MAS EJES)</c:v>
                </c:pt>
                <c:pt idx="6">
                  <c:v>CAMIÓN MEDIANO
(DOS EJES)</c:v>
                </c:pt>
                <c:pt idx="7">
                  <c:v>CAMIÓN GRANDE
( DOS EJES)</c:v>
                </c:pt>
                <c:pt idx="8">
                  <c:v>CAMION GRANDE
(TRES EJES)</c:v>
                </c:pt>
                <c:pt idx="9">
                  <c:v>CAMIÓN CON SEMIRREMOLQUE</c:v>
                </c:pt>
                <c:pt idx="10">
                  <c:v>CAMION CON
REMOLQUE</c:v>
                </c:pt>
                <c:pt idx="11">
                  <c:v>MOTOCICLETAS</c:v>
                </c:pt>
                <c:pt idx="12">
                  <c:v>OTROS VEHICULOS</c:v>
                </c:pt>
              </c:strCache>
            </c:strRef>
          </c:cat>
          <c:val>
            <c:numRef>
              <c:f>'[7]DP8 CAIHUASI S1'!$B$35:$N$35</c:f>
              <c:numCache>
                <c:formatCode>General</c:formatCode>
                <c:ptCount val="13"/>
                <c:pt idx="0">
                  <c:v>389</c:v>
                </c:pt>
                <c:pt idx="1">
                  <c:v>81</c:v>
                </c:pt>
                <c:pt idx="2">
                  <c:v>249</c:v>
                </c:pt>
                <c:pt idx="3">
                  <c:v>1</c:v>
                </c:pt>
                <c:pt idx="4">
                  <c:v>53</c:v>
                </c:pt>
                <c:pt idx="5">
                  <c:v>371</c:v>
                </c:pt>
                <c:pt idx="6">
                  <c:v>39</c:v>
                </c:pt>
                <c:pt idx="7">
                  <c:v>121</c:v>
                </c:pt>
                <c:pt idx="8">
                  <c:v>237</c:v>
                </c:pt>
                <c:pt idx="9">
                  <c:v>295</c:v>
                </c:pt>
                <c:pt idx="10">
                  <c:v>113</c:v>
                </c:pt>
                <c:pt idx="11">
                  <c:v>12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FE4-4F9E-97DF-BB235EB16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78009235446287"/>
          <c:y val="0.10986574148454835"/>
          <c:w val="0.22935827519249313"/>
          <c:h val="0.81614550817093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BO"/>
              <a:t>Resumen Porcentual por Hora</a:t>
            </a:r>
          </a:p>
        </c:rich>
      </c:tx>
      <c:layout>
        <c:manualLayout>
          <c:xMode val="edge"/>
          <c:yMode val="edge"/>
          <c:x val="0.32532101756511206"/>
          <c:y val="3.2000000000000001E-2"/>
        </c:manualLayout>
      </c:layout>
      <c:overlay val="0"/>
      <c:spPr>
        <a:noFill/>
        <a:ln w="25400">
          <a:noFill/>
        </a:ln>
      </c:spPr>
    </c:title>
    <c:autoTitleDeleted val="0"/>
    <c:view3D>
      <c:rotX val="3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019249579404515"/>
          <c:y val="0.18400047916791451"/>
          <c:w val="0.62980867796079654"/>
          <c:h val="0.72533522222714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60B-40B4-B957-9678B5E5BD4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60B-40B4-B957-9678B5E5BD4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60B-40B4-B957-9678B5E5BD4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60B-40B4-B957-9678B5E5BD4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60B-40B4-B957-9678B5E5BD4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60B-40B4-B957-9678B5E5BD4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60B-40B4-B957-9678B5E5BD40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460B-40B4-B957-9678B5E5BD40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60B-40B4-B957-9678B5E5BD40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60B-40B4-B957-9678B5E5BD4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460B-40B4-B957-9678B5E5BD40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460B-40B4-B957-9678B5E5BD40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460B-40B4-B957-9678B5E5BD40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460B-40B4-B957-9678B5E5BD40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460B-40B4-B957-9678B5E5BD40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460B-40B4-B957-9678B5E5BD40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460B-40B4-B957-9678B5E5BD40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460B-40B4-B957-9678B5E5BD40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460B-40B4-B957-9678B5E5BD40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460B-40B4-B957-9678B5E5BD40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460B-40B4-B957-9678B5E5BD40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460B-40B4-B957-9678B5E5BD40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460B-40B4-B957-9678B5E5BD40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460B-40B4-B957-9678B5E5BD40}"/>
              </c:ext>
            </c:extLst>
          </c:dPt>
          <c:dLbls>
            <c:dLbl>
              <c:idx val="0"/>
              <c:layout>
                <c:manualLayout>
                  <c:x val="-5.2258049899265566E-2"/>
                  <c:y val="-6.07700320421100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0B-40B4-B957-9678B5E5BD40}"/>
                </c:ext>
              </c:extLst>
            </c:dLbl>
            <c:dLbl>
              <c:idx val="1"/>
              <c:layout>
                <c:manualLayout>
                  <c:x val="-1.8054326202908932E-2"/>
                  <c:y val="-8.9049283245048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0B-40B4-B957-9678B5E5BD40}"/>
                </c:ext>
              </c:extLst>
            </c:dLbl>
            <c:dLbl>
              <c:idx val="2"/>
              <c:layout>
                <c:manualLayout>
                  <c:x val="8.3839008073470923E-5"/>
                  <c:y val="-0.1001617605521204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0B-40B4-B957-9678B5E5BD40}"/>
                </c:ext>
              </c:extLst>
            </c:dLbl>
            <c:dLbl>
              <c:idx val="3"/>
              <c:layout>
                <c:manualLayout>
                  <c:x val="5.8037923132373354E-2"/>
                  <c:y val="-7.6172456964490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0B-40B4-B957-9678B5E5BD40}"/>
                </c:ext>
              </c:extLst>
            </c:dLbl>
            <c:dLbl>
              <c:idx val="4"/>
              <c:layout>
                <c:manualLayout>
                  <c:x val="4.3762558096579314E-2"/>
                  <c:y val="-2.70840524364608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0B-40B4-B957-9678B5E5BD40}"/>
                </c:ext>
              </c:extLst>
            </c:dLbl>
            <c:dLbl>
              <c:idx val="5"/>
              <c:layout>
                <c:manualLayout>
                  <c:x val="8.0585268593127007E-2"/>
                  <c:y val="-1.510312587232258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0B-40B4-B957-9678B5E5BD40}"/>
                </c:ext>
              </c:extLst>
            </c:dLbl>
            <c:dLbl>
              <c:idx val="6"/>
              <c:layout>
                <c:manualLayout>
                  <c:x val="9.0584623188582875E-2"/>
                  <c:y val="3.735805178571832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0B-40B4-B957-9678B5E5BD40}"/>
                </c:ext>
              </c:extLst>
            </c:dLbl>
            <c:dLbl>
              <c:idx val="7"/>
              <c:layout>
                <c:manualLayout>
                  <c:x val="7.5763624224971848E-2"/>
                  <c:y val="5.724276066636471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60B-40B4-B957-9678B5E5BD40}"/>
                </c:ext>
              </c:extLst>
            </c:dLbl>
            <c:dLbl>
              <c:idx val="8"/>
              <c:layout>
                <c:manualLayout>
                  <c:x val="4.3189539840574692E-2"/>
                  <c:y val="7.911544330087054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60B-40B4-B957-9678B5E5BD40}"/>
                </c:ext>
              </c:extLst>
            </c:dLbl>
            <c:dLbl>
              <c:idx val="9"/>
              <c:layout>
                <c:manualLayout>
                  <c:x val="2.7372137417730612E-2"/>
                  <c:y val="6.43885830650117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60B-40B4-B957-9678B5E5BD40}"/>
                </c:ext>
              </c:extLst>
            </c:dLbl>
            <c:dLbl>
              <c:idx val="10"/>
              <c:layout>
                <c:manualLayout>
                  <c:x val="3.0754529000740556E-2"/>
                  <c:y val="3.278065907146154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60B-40B4-B957-9678B5E5BD40}"/>
                </c:ext>
              </c:extLst>
            </c:dLbl>
            <c:dLbl>
              <c:idx val="11"/>
              <c:layout>
                <c:manualLayout>
                  <c:x val="1.8713191360053151E-2"/>
                  <c:y val="5.173901930833306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60B-40B4-B957-9678B5E5BD40}"/>
                </c:ext>
              </c:extLst>
            </c:dLbl>
            <c:dLbl>
              <c:idx val="12"/>
              <c:layout>
                <c:manualLayout>
                  <c:x val="1.7689388735141205E-2"/>
                  <c:y val="3.078088769209914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60B-40B4-B957-9678B5E5BD40}"/>
                </c:ext>
              </c:extLst>
            </c:dLbl>
            <c:dLbl>
              <c:idx val="13"/>
              <c:layout>
                <c:manualLayout>
                  <c:x val="-2.7863665919770617E-3"/>
                  <c:y val="4.944760297000356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60B-40B4-B957-9678B5E5BD40}"/>
                </c:ext>
              </c:extLst>
            </c:dLbl>
            <c:dLbl>
              <c:idx val="14"/>
              <c:layout>
                <c:manualLayout>
                  <c:x val="-1.5179681974552606E-2"/>
                  <c:y val="4.93083909182041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60B-40B4-B957-9678B5E5BD40}"/>
                </c:ext>
              </c:extLst>
            </c:dLbl>
            <c:dLbl>
              <c:idx val="15"/>
              <c:layout>
                <c:manualLayout>
                  <c:x val="-2.5627006074584822E-2"/>
                  <c:y val="5.679286423375038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60B-40B4-B957-9678B5E5BD40}"/>
                </c:ext>
              </c:extLst>
            </c:dLbl>
            <c:dLbl>
              <c:idx val="16"/>
              <c:layout>
                <c:manualLayout>
                  <c:x val="-3.7897450110883718E-2"/>
                  <c:y val="-8.1691558349398195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60B-40B4-B957-9678B5E5BD40}"/>
                </c:ext>
              </c:extLst>
            </c:dLbl>
            <c:dLbl>
              <c:idx val="17"/>
              <c:layout>
                <c:manualLayout>
                  <c:x val="-3.8163342459035639E-2"/>
                  <c:y val="-3.8326854176678497E-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60B-40B4-B957-9678B5E5BD40}"/>
                </c:ext>
              </c:extLst>
            </c:dLbl>
            <c:dLbl>
              <c:idx val="18"/>
              <c:layout>
                <c:manualLayout>
                  <c:x val="-3.4008134226113748E-2"/>
                  <c:y val="-3.7223244354603352E-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60B-40B4-B957-9678B5E5BD40}"/>
                </c:ext>
              </c:extLst>
            </c:dLbl>
            <c:dLbl>
              <c:idx val="19"/>
              <c:layout>
                <c:manualLayout>
                  <c:x val="-1.9969306094974722E-2"/>
                  <c:y val="-6.388736340527567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60B-40B4-B957-9678B5E5BD40}"/>
                </c:ext>
              </c:extLst>
            </c:dLbl>
            <c:dLbl>
              <c:idx val="20"/>
              <c:layout>
                <c:manualLayout>
                  <c:x val="-1.307998435946724E-2"/>
                  <c:y val="-5.293813347360415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60B-40B4-B957-9678B5E5BD40}"/>
                </c:ext>
              </c:extLst>
            </c:dLbl>
            <c:dLbl>
              <c:idx val="21"/>
              <c:layout>
                <c:manualLayout>
                  <c:x val="5.7365069913773727E-4"/>
                  <c:y val="-6.00595524921362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60B-40B4-B957-9678B5E5BD40}"/>
                </c:ext>
              </c:extLst>
            </c:dLbl>
            <c:dLbl>
              <c:idx val="22"/>
              <c:layout>
                <c:manualLayout>
                  <c:x val="2.290417498333106E-3"/>
                  <c:y val="-4.500370559828735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60B-40B4-B957-9678B5E5BD40}"/>
                </c:ext>
              </c:extLst>
            </c:dLbl>
            <c:dLbl>
              <c:idx val="23"/>
              <c:layout>
                <c:manualLayout>
                  <c:x val="-1.25561186640263E-3"/>
                  <c:y val="-5.54366848198516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B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60B-40B4-B957-9678B5E5BD4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'[7]DP8 CAIHUASI S1'!$A$11:$A$34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'[7]DP8 CAIHUASI S1'!$O$11:$O$34</c:f>
              <c:numCache>
                <c:formatCode>General</c:formatCode>
                <c:ptCount val="24"/>
                <c:pt idx="0">
                  <c:v>69</c:v>
                </c:pt>
                <c:pt idx="1">
                  <c:v>66</c:v>
                </c:pt>
                <c:pt idx="2">
                  <c:v>44</c:v>
                </c:pt>
                <c:pt idx="3">
                  <c:v>74</c:v>
                </c:pt>
                <c:pt idx="4">
                  <c:v>56</c:v>
                </c:pt>
                <c:pt idx="5">
                  <c:v>89</c:v>
                </c:pt>
                <c:pt idx="6">
                  <c:v>57</c:v>
                </c:pt>
                <c:pt idx="7">
                  <c:v>35</c:v>
                </c:pt>
                <c:pt idx="8">
                  <c:v>51</c:v>
                </c:pt>
                <c:pt idx="9">
                  <c:v>84</c:v>
                </c:pt>
                <c:pt idx="10">
                  <c:v>83</c:v>
                </c:pt>
                <c:pt idx="11">
                  <c:v>92</c:v>
                </c:pt>
                <c:pt idx="12">
                  <c:v>122</c:v>
                </c:pt>
                <c:pt idx="13">
                  <c:v>107</c:v>
                </c:pt>
                <c:pt idx="14">
                  <c:v>109</c:v>
                </c:pt>
                <c:pt idx="15">
                  <c:v>91</c:v>
                </c:pt>
                <c:pt idx="16">
                  <c:v>79</c:v>
                </c:pt>
                <c:pt idx="17">
                  <c:v>92</c:v>
                </c:pt>
                <c:pt idx="18">
                  <c:v>93</c:v>
                </c:pt>
                <c:pt idx="19">
                  <c:v>117</c:v>
                </c:pt>
                <c:pt idx="20">
                  <c:v>96</c:v>
                </c:pt>
                <c:pt idx="21">
                  <c:v>79</c:v>
                </c:pt>
                <c:pt idx="22">
                  <c:v>81</c:v>
                </c:pt>
                <c:pt idx="2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460B-40B4-B957-9678B5E5B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9084438754573"/>
          <c:y val="6.3457347365991734E-2"/>
          <c:w val="8.5190216500068874E-2"/>
          <c:h val="0.85120372846106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 PICO</a:t>
            </a:r>
          </a:p>
        </c:rich>
      </c:tx>
      <c:layout>
        <c:manualLayout>
          <c:xMode val="edge"/>
          <c:yMode val="edge"/>
          <c:x val="0.48164120919996062"/>
          <c:y val="7.3891633577228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DIA 1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1'!$O$11:$O$34</c:f>
              <c:numCache>
                <c:formatCode>0</c:formatCode>
                <c:ptCount val="24"/>
                <c:pt idx="0">
                  <c:v>93</c:v>
                </c:pt>
                <c:pt idx="1">
                  <c:v>90</c:v>
                </c:pt>
                <c:pt idx="2">
                  <c:v>93</c:v>
                </c:pt>
                <c:pt idx="3">
                  <c:v>103</c:v>
                </c:pt>
                <c:pt idx="4">
                  <c:v>96</c:v>
                </c:pt>
                <c:pt idx="5">
                  <c:v>161</c:v>
                </c:pt>
                <c:pt idx="6">
                  <c:v>185</c:v>
                </c:pt>
                <c:pt idx="7">
                  <c:v>138</c:v>
                </c:pt>
                <c:pt idx="8">
                  <c:v>116</c:v>
                </c:pt>
                <c:pt idx="9">
                  <c:v>161</c:v>
                </c:pt>
                <c:pt idx="10">
                  <c:v>181</c:v>
                </c:pt>
                <c:pt idx="11">
                  <c:v>123</c:v>
                </c:pt>
                <c:pt idx="12">
                  <c:v>180</c:v>
                </c:pt>
                <c:pt idx="13">
                  <c:v>202</c:v>
                </c:pt>
                <c:pt idx="14">
                  <c:v>188</c:v>
                </c:pt>
                <c:pt idx="15">
                  <c:v>209</c:v>
                </c:pt>
                <c:pt idx="16">
                  <c:v>246</c:v>
                </c:pt>
                <c:pt idx="17">
                  <c:v>202</c:v>
                </c:pt>
                <c:pt idx="18">
                  <c:v>208</c:v>
                </c:pt>
                <c:pt idx="19">
                  <c:v>193</c:v>
                </c:pt>
                <c:pt idx="20">
                  <c:v>194</c:v>
                </c:pt>
                <c:pt idx="21">
                  <c:v>168</c:v>
                </c:pt>
                <c:pt idx="22">
                  <c:v>110</c:v>
                </c:pt>
                <c:pt idx="23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4-4704-A71E-8124807CD756}"/>
            </c:ext>
          </c:extLst>
        </c:ser>
        <c:ser>
          <c:idx val="1"/>
          <c:order val="1"/>
          <c:tx>
            <c:v>DIA 2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2'!$O$11:$O$34</c:f>
              <c:numCache>
                <c:formatCode>0</c:formatCode>
                <c:ptCount val="24"/>
                <c:pt idx="0">
                  <c:v>111</c:v>
                </c:pt>
                <c:pt idx="1">
                  <c:v>110</c:v>
                </c:pt>
                <c:pt idx="2">
                  <c:v>104</c:v>
                </c:pt>
                <c:pt idx="3">
                  <c:v>87</c:v>
                </c:pt>
                <c:pt idx="4">
                  <c:v>109</c:v>
                </c:pt>
                <c:pt idx="5">
                  <c:v>160</c:v>
                </c:pt>
                <c:pt idx="6">
                  <c:v>141</c:v>
                </c:pt>
                <c:pt idx="7">
                  <c:v>136</c:v>
                </c:pt>
                <c:pt idx="8">
                  <c:v>182</c:v>
                </c:pt>
                <c:pt idx="9">
                  <c:v>162</c:v>
                </c:pt>
                <c:pt idx="10">
                  <c:v>156</c:v>
                </c:pt>
                <c:pt idx="11">
                  <c:v>182</c:v>
                </c:pt>
                <c:pt idx="12">
                  <c:v>172</c:v>
                </c:pt>
                <c:pt idx="13">
                  <c:v>210</c:v>
                </c:pt>
                <c:pt idx="14">
                  <c:v>229</c:v>
                </c:pt>
                <c:pt idx="15">
                  <c:v>220</c:v>
                </c:pt>
                <c:pt idx="16">
                  <c:v>264</c:v>
                </c:pt>
                <c:pt idx="17">
                  <c:v>230</c:v>
                </c:pt>
                <c:pt idx="18">
                  <c:v>262</c:v>
                </c:pt>
                <c:pt idx="19">
                  <c:v>173</c:v>
                </c:pt>
                <c:pt idx="20">
                  <c:v>165</c:v>
                </c:pt>
                <c:pt idx="21">
                  <c:v>179</c:v>
                </c:pt>
                <c:pt idx="22">
                  <c:v>99</c:v>
                </c:pt>
                <c:pt idx="23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D4-4704-A71E-8124807CD756}"/>
            </c:ext>
          </c:extLst>
        </c:ser>
        <c:ser>
          <c:idx val="2"/>
          <c:order val="2"/>
          <c:tx>
            <c:v>DIA 3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3'!$O$11:$O$34</c:f>
              <c:numCache>
                <c:formatCode>0</c:formatCode>
                <c:ptCount val="24"/>
                <c:pt idx="0">
                  <c:v>112</c:v>
                </c:pt>
                <c:pt idx="1">
                  <c:v>111</c:v>
                </c:pt>
                <c:pt idx="2">
                  <c:v>118</c:v>
                </c:pt>
                <c:pt idx="3">
                  <c:v>152</c:v>
                </c:pt>
                <c:pt idx="4">
                  <c:v>142</c:v>
                </c:pt>
                <c:pt idx="5">
                  <c:v>159</c:v>
                </c:pt>
                <c:pt idx="6">
                  <c:v>82</c:v>
                </c:pt>
                <c:pt idx="7">
                  <c:v>94</c:v>
                </c:pt>
                <c:pt idx="8">
                  <c:v>165</c:v>
                </c:pt>
                <c:pt idx="9">
                  <c:v>88</c:v>
                </c:pt>
                <c:pt idx="10">
                  <c:v>148</c:v>
                </c:pt>
                <c:pt idx="11">
                  <c:v>157</c:v>
                </c:pt>
                <c:pt idx="12">
                  <c:v>142</c:v>
                </c:pt>
                <c:pt idx="13">
                  <c:v>236</c:v>
                </c:pt>
                <c:pt idx="14">
                  <c:v>161</c:v>
                </c:pt>
                <c:pt idx="15">
                  <c:v>204</c:v>
                </c:pt>
                <c:pt idx="16">
                  <c:v>201</c:v>
                </c:pt>
                <c:pt idx="17">
                  <c:v>223</c:v>
                </c:pt>
                <c:pt idx="18">
                  <c:v>148</c:v>
                </c:pt>
                <c:pt idx="19">
                  <c:v>147</c:v>
                </c:pt>
                <c:pt idx="20">
                  <c:v>149</c:v>
                </c:pt>
                <c:pt idx="21">
                  <c:v>129</c:v>
                </c:pt>
                <c:pt idx="22">
                  <c:v>212</c:v>
                </c:pt>
                <c:pt idx="2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D4-4704-A71E-8124807CD756}"/>
            </c:ext>
          </c:extLst>
        </c:ser>
        <c:ser>
          <c:idx val="4"/>
          <c:order val="3"/>
          <c:tx>
            <c:v>DIA 4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4'!$O$11:$O$34</c:f>
              <c:numCache>
                <c:formatCode>0</c:formatCode>
                <c:ptCount val="24"/>
                <c:pt idx="0">
                  <c:v>109</c:v>
                </c:pt>
                <c:pt idx="1">
                  <c:v>108</c:v>
                </c:pt>
                <c:pt idx="2">
                  <c:v>143</c:v>
                </c:pt>
                <c:pt idx="3">
                  <c:v>63</c:v>
                </c:pt>
                <c:pt idx="4">
                  <c:v>60</c:v>
                </c:pt>
                <c:pt idx="5">
                  <c:v>66</c:v>
                </c:pt>
                <c:pt idx="6">
                  <c:v>114</c:v>
                </c:pt>
                <c:pt idx="7">
                  <c:v>122</c:v>
                </c:pt>
                <c:pt idx="8">
                  <c:v>100</c:v>
                </c:pt>
                <c:pt idx="9">
                  <c:v>159</c:v>
                </c:pt>
                <c:pt idx="10">
                  <c:v>120</c:v>
                </c:pt>
                <c:pt idx="11">
                  <c:v>123</c:v>
                </c:pt>
                <c:pt idx="12">
                  <c:v>158</c:v>
                </c:pt>
                <c:pt idx="13">
                  <c:v>150</c:v>
                </c:pt>
                <c:pt idx="14">
                  <c:v>185</c:v>
                </c:pt>
                <c:pt idx="15">
                  <c:v>117</c:v>
                </c:pt>
                <c:pt idx="16">
                  <c:v>175</c:v>
                </c:pt>
                <c:pt idx="17">
                  <c:v>184</c:v>
                </c:pt>
                <c:pt idx="18">
                  <c:v>232</c:v>
                </c:pt>
                <c:pt idx="19">
                  <c:v>164</c:v>
                </c:pt>
                <c:pt idx="20">
                  <c:v>117</c:v>
                </c:pt>
                <c:pt idx="21">
                  <c:v>124</c:v>
                </c:pt>
                <c:pt idx="22">
                  <c:v>132</c:v>
                </c:pt>
                <c:pt idx="2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D4-4704-A71E-8124807CD756}"/>
            </c:ext>
          </c:extLst>
        </c:ser>
        <c:ser>
          <c:idx val="3"/>
          <c:order val="4"/>
          <c:tx>
            <c:v>DIA 5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5'!$O$11:$O$34</c:f>
              <c:numCache>
                <c:formatCode>0</c:formatCode>
                <c:ptCount val="24"/>
                <c:pt idx="0">
                  <c:v>141</c:v>
                </c:pt>
                <c:pt idx="1">
                  <c:v>163</c:v>
                </c:pt>
                <c:pt idx="2">
                  <c:v>96</c:v>
                </c:pt>
                <c:pt idx="3">
                  <c:v>133</c:v>
                </c:pt>
                <c:pt idx="4">
                  <c:v>66</c:v>
                </c:pt>
                <c:pt idx="5">
                  <c:v>92</c:v>
                </c:pt>
                <c:pt idx="6">
                  <c:v>130</c:v>
                </c:pt>
                <c:pt idx="7">
                  <c:v>145</c:v>
                </c:pt>
                <c:pt idx="8">
                  <c:v>156</c:v>
                </c:pt>
                <c:pt idx="9">
                  <c:v>130</c:v>
                </c:pt>
                <c:pt idx="10">
                  <c:v>247</c:v>
                </c:pt>
                <c:pt idx="11">
                  <c:v>143</c:v>
                </c:pt>
                <c:pt idx="12">
                  <c:v>158</c:v>
                </c:pt>
                <c:pt idx="13">
                  <c:v>213</c:v>
                </c:pt>
                <c:pt idx="14">
                  <c:v>287</c:v>
                </c:pt>
                <c:pt idx="15">
                  <c:v>204</c:v>
                </c:pt>
                <c:pt idx="16">
                  <c:v>211</c:v>
                </c:pt>
                <c:pt idx="17">
                  <c:v>160</c:v>
                </c:pt>
                <c:pt idx="18">
                  <c:v>155</c:v>
                </c:pt>
                <c:pt idx="19">
                  <c:v>144</c:v>
                </c:pt>
                <c:pt idx="20">
                  <c:v>234</c:v>
                </c:pt>
                <c:pt idx="21">
                  <c:v>102</c:v>
                </c:pt>
                <c:pt idx="22">
                  <c:v>116</c:v>
                </c:pt>
                <c:pt idx="2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D4-4704-A71E-8124807CD756}"/>
            </c:ext>
          </c:extLst>
        </c:ser>
        <c:ser>
          <c:idx val="5"/>
          <c:order val="5"/>
          <c:tx>
            <c:v>DIA 6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6'!$O$11:$O$34</c:f>
              <c:numCache>
                <c:formatCode>0</c:formatCode>
                <c:ptCount val="24"/>
                <c:pt idx="0">
                  <c:v>147</c:v>
                </c:pt>
                <c:pt idx="1">
                  <c:v>150</c:v>
                </c:pt>
                <c:pt idx="2">
                  <c:v>111</c:v>
                </c:pt>
                <c:pt idx="3">
                  <c:v>52</c:v>
                </c:pt>
                <c:pt idx="4">
                  <c:v>39</c:v>
                </c:pt>
                <c:pt idx="5">
                  <c:v>83</c:v>
                </c:pt>
                <c:pt idx="6">
                  <c:v>109</c:v>
                </c:pt>
                <c:pt idx="7">
                  <c:v>134</c:v>
                </c:pt>
                <c:pt idx="8">
                  <c:v>173</c:v>
                </c:pt>
                <c:pt idx="9">
                  <c:v>124</c:v>
                </c:pt>
                <c:pt idx="10">
                  <c:v>114</c:v>
                </c:pt>
                <c:pt idx="11">
                  <c:v>156</c:v>
                </c:pt>
                <c:pt idx="12">
                  <c:v>163</c:v>
                </c:pt>
                <c:pt idx="13">
                  <c:v>187</c:v>
                </c:pt>
                <c:pt idx="14">
                  <c:v>174</c:v>
                </c:pt>
                <c:pt idx="15">
                  <c:v>218</c:v>
                </c:pt>
                <c:pt idx="16">
                  <c:v>228</c:v>
                </c:pt>
                <c:pt idx="17">
                  <c:v>200</c:v>
                </c:pt>
                <c:pt idx="18">
                  <c:v>128</c:v>
                </c:pt>
                <c:pt idx="19">
                  <c:v>207</c:v>
                </c:pt>
                <c:pt idx="20">
                  <c:v>190</c:v>
                </c:pt>
                <c:pt idx="21">
                  <c:v>230</c:v>
                </c:pt>
                <c:pt idx="22">
                  <c:v>202</c:v>
                </c:pt>
                <c:pt idx="23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D4-4704-A71E-8124807CD756}"/>
            </c:ext>
          </c:extLst>
        </c:ser>
        <c:ser>
          <c:idx val="6"/>
          <c:order val="6"/>
          <c:tx>
            <c:v>DIA 7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'dia 1'!$A$11:$A$34</c:f>
              <c:strCache>
                <c:ptCount val="24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6 - 7</c:v>
                </c:pt>
                <c:pt idx="7">
                  <c:v>7 - 8</c:v>
                </c:pt>
                <c:pt idx="8">
                  <c:v>8 - 9</c:v>
                </c:pt>
                <c:pt idx="9">
                  <c:v>9 - 10</c:v>
                </c:pt>
                <c:pt idx="10">
                  <c:v>10 - 11</c:v>
                </c:pt>
                <c:pt idx="11">
                  <c:v>11 - 12</c:v>
                </c:pt>
                <c:pt idx="12">
                  <c:v>12 - 13</c:v>
                </c:pt>
                <c:pt idx="13">
                  <c:v>13 - 14</c:v>
                </c:pt>
                <c:pt idx="14">
                  <c:v>14 - 15</c:v>
                </c:pt>
                <c:pt idx="15">
                  <c:v>15 - 16</c:v>
                </c:pt>
                <c:pt idx="16">
                  <c:v>16 - 17</c:v>
                </c:pt>
                <c:pt idx="17">
                  <c:v>17 - 18</c:v>
                </c:pt>
                <c:pt idx="18">
                  <c:v>18 - 19</c:v>
                </c:pt>
                <c:pt idx="19">
                  <c:v>19 - 20</c:v>
                </c:pt>
                <c:pt idx="20">
                  <c:v>20 - 21</c:v>
                </c:pt>
                <c:pt idx="21">
                  <c:v>21 - 22</c:v>
                </c:pt>
                <c:pt idx="22">
                  <c:v>22 - 23</c:v>
                </c:pt>
                <c:pt idx="23">
                  <c:v>23 - 24</c:v>
                </c:pt>
              </c:strCache>
            </c:strRef>
          </c:cat>
          <c:val>
            <c:numRef>
              <c:f>'dia 7'!$O$11:$O$34</c:f>
              <c:numCache>
                <c:formatCode>0</c:formatCode>
                <c:ptCount val="24"/>
                <c:pt idx="0">
                  <c:v>147</c:v>
                </c:pt>
                <c:pt idx="1">
                  <c:v>140</c:v>
                </c:pt>
                <c:pt idx="2">
                  <c:v>125</c:v>
                </c:pt>
                <c:pt idx="3">
                  <c:v>131</c:v>
                </c:pt>
                <c:pt idx="4">
                  <c:v>112</c:v>
                </c:pt>
                <c:pt idx="5">
                  <c:v>180</c:v>
                </c:pt>
                <c:pt idx="6">
                  <c:v>116</c:v>
                </c:pt>
                <c:pt idx="7">
                  <c:v>109</c:v>
                </c:pt>
                <c:pt idx="8">
                  <c:v>154</c:v>
                </c:pt>
                <c:pt idx="9">
                  <c:v>165</c:v>
                </c:pt>
                <c:pt idx="10">
                  <c:v>188</c:v>
                </c:pt>
                <c:pt idx="11">
                  <c:v>194</c:v>
                </c:pt>
                <c:pt idx="12">
                  <c:v>235</c:v>
                </c:pt>
                <c:pt idx="13">
                  <c:v>219</c:v>
                </c:pt>
                <c:pt idx="14">
                  <c:v>204</c:v>
                </c:pt>
                <c:pt idx="15">
                  <c:v>166</c:v>
                </c:pt>
                <c:pt idx="16">
                  <c:v>151</c:v>
                </c:pt>
                <c:pt idx="17">
                  <c:v>167</c:v>
                </c:pt>
                <c:pt idx="18">
                  <c:v>165</c:v>
                </c:pt>
                <c:pt idx="19">
                  <c:v>210</c:v>
                </c:pt>
                <c:pt idx="20">
                  <c:v>188</c:v>
                </c:pt>
                <c:pt idx="21">
                  <c:v>155</c:v>
                </c:pt>
                <c:pt idx="22">
                  <c:v>182</c:v>
                </c:pt>
                <c:pt idx="23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D4-4704-A71E-8124807C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837296"/>
        <c:axId val="689841232"/>
      </c:barChart>
      <c:catAx>
        <c:axId val="6898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89841232"/>
        <c:crosses val="autoZero"/>
        <c:auto val="1"/>
        <c:lblAlgn val="ctr"/>
        <c:lblOffset val="100"/>
        <c:noMultiLvlLbl val="0"/>
      </c:catAx>
      <c:valAx>
        <c:axId val="6898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VEHICULOS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89837296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220980</xdr:colOff>
      <xdr:row>5</xdr:row>
      <xdr:rowOff>7620</xdr:rowOff>
    </xdr:from>
    <xdr:to>
      <xdr:col>23</xdr:col>
      <xdr:colOff>228600</xdr:colOff>
      <xdr:row>15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220980</xdr:colOff>
      <xdr:row>16</xdr:row>
      <xdr:rowOff>0</xdr:rowOff>
    </xdr:from>
    <xdr:to>
      <xdr:col>23</xdr:col>
      <xdr:colOff>228600</xdr:colOff>
      <xdr:row>32</xdr:row>
      <xdr:rowOff>68580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318655</xdr:colOff>
      <xdr:row>5</xdr:row>
      <xdr:rowOff>81050</xdr:rowOff>
    </xdr:from>
    <xdr:to>
      <xdr:col>52</xdr:col>
      <xdr:colOff>457200</xdr:colOff>
      <xdr:row>55</xdr:row>
      <xdr:rowOff>152400</xdr:rowOff>
    </xdr:to>
    <xdr:graphicFrame macro="">
      <xdr:nvGraphicFramePr>
        <xdr:cNvPr id="8" name="Chart 7" title="HORA PICO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779157</xdr:colOff>
      <xdr:row>1</xdr:row>
      <xdr:rowOff>182880</xdr:rowOff>
    </xdr:from>
    <xdr:to>
      <xdr:col>36</xdr:col>
      <xdr:colOff>204195</xdr:colOff>
      <xdr:row>15</xdr:row>
      <xdr:rowOff>104775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623EE55-C366-4FF5-9DD4-80EDD85E0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9457" y="382905"/>
          <a:ext cx="5540088" cy="3284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628650</xdr:colOff>
      <xdr:row>22</xdr:row>
      <xdr:rowOff>104775</xdr:rowOff>
    </xdr:from>
    <xdr:to>
      <xdr:col>38</xdr:col>
      <xdr:colOff>277133</xdr:colOff>
      <xdr:row>37</xdr:row>
      <xdr:rowOff>9933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366622B-B2BF-40D2-BB57-7FC8897EA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0" y="5210175"/>
          <a:ext cx="6506483" cy="29245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eo%20%20dia%201%20TRAMO%201%20DOBLE%20VIA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eo%20%20dia%202%20TRAMO%201%20DOBLE%20VI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nteo%20%20dia%203%20TRAMO%201%20DOBLE%20V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nteo%20%20dia%204%20TRAMO%201%20DOBLE%20VIA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nteo%20%20dia%205%20TRAMO%201%20DOBLE%20VIA%20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nteo%20%20dia%206%20TRAMO%201%20DOBLE%20VIA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nteo%20%20dia%207%20TRAMO%201%20DOBLE%20VIA%20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%20TRAFICO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6</v>
          </cell>
          <cell r="C11">
            <v>2</v>
          </cell>
          <cell r="D11">
            <v>4</v>
          </cell>
          <cell r="E11">
            <v>0</v>
          </cell>
          <cell r="F11">
            <v>0</v>
          </cell>
          <cell r="G11">
            <v>11</v>
          </cell>
          <cell r="H11">
            <v>0</v>
          </cell>
          <cell r="I11">
            <v>0</v>
          </cell>
          <cell r="J11">
            <v>8</v>
          </cell>
          <cell r="K11">
            <v>12</v>
          </cell>
          <cell r="L11">
            <v>2</v>
          </cell>
          <cell r="M11">
            <v>0</v>
          </cell>
          <cell r="N11">
            <v>0</v>
          </cell>
          <cell r="O11">
            <v>45</v>
          </cell>
        </row>
        <row r="12">
          <cell r="A12" t="str">
            <v>1 - 2</v>
          </cell>
          <cell r="B12">
            <v>2</v>
          </cell>
          <cell r="C12">
            <v>0</v>
          </cell>
          <cell r="D12">
            <v>10</v>
          </cell>
          <cell r="E12">
            <v>0</v>
          </cell>
          <cell r="F12">
            <v>0</v>
          </cell>
          <cell r="G12">
            <v>12</v>
          </cell>
          <cell r="H12">
            <v>0</v>
          </cell>
          <cell r="I12">
            <v>0</v>
          </cell>
          <cell r="J12">
            <v>5</v>
          </cell>
          <cell r="K12">
            <v>10</v>
          </cell>
          <cell r="L12">
            <v>5</v>
          </cell>
          <cell r="M12">
            <v>0</v>
          </cell>
          <cell r="N12">
            <v>0</v>
          </cell>
          <cell r="O12">
            <v>44</v>
          </cell>
        </row>
        <row r="13">
          <cell r="A13" t="str">
            <v>2 - 3</v>
          </cell>
          <cell r="B13">
            <v>8</v>
          </cell>
          <cell r="C13">
            <v>0</v>
          </cell>
          <cell r="D13">
            <v>4</v>
          </cell>
          <cell r="E13">
            <v>0</v>
          </cell>
          <cell r="F13">
            <v>0</v>
          </cell>
          <cell r="G13">
            <v>12</v>
          </cell>
          <cell r="H13">
            <v>0</v>
          </cell>
          <cell r="I13">
            <v>0</v>
          </cell>
          <cell r="J13">
            <v>7</v>
          </cell>
          <cell r="K13">
            <v>13</v>
          </cell>
          <cell r="L13">
            <v>4</v>
          </cell>
          <cell r="M13">
            <v>0</v>
          </cell>
          <cell r="N13">
            <v>0</v>
          </cell>
          <cell r="O13">
            <v>48</v>
          </cell>
        </row>
        <row r="14">
          <cell r="A14" t="str">
            <v>3 - 4</v>
          </cell>
          <cell r="B14">
            <v>8</v>
          </cell>
          <cell r="C14">
            <v>2</v>
          </cell>
          <cell r="D14">
            <v>3</v>
          </cell>
          <cell r="E14">
            <v>0</v>
          </cell>
          <cell r="F14">
            <v>4</v>
          </cell>
          <cell r="G14">
            <v>14</v>
          </cell>
          <cell r="H14">
            <v>2</v>
          </cell>
          <cell r="I14">
            <v>4</v>
          </cell>
          <cell r="J14">
            <v>5</v>
          </cell>
          <cell r="K14">
            <v>8</v>
          </cell>
          <cell r="L14">
            <v>4</v>
          </cell>
          <cell r="M14">
            <v>0</v>
          </cell>
          <cell r="N14">
            <v>0</v>
          </cell>
          <cell r="O14">
            <v>54</v>
          </cell>
        </row>
        <row r="15">
          <cell r="A15" t="str">
            <v>4 - 5</v>
          </cell>
          <cell r="B15">
            <v>8</v>
          </cell>
          <cell r="C15">
            <v>2</v>
          </cell>
          <cell r="D15">
            <v>3</v>
          </cell>
          <cell r="E15">
            <v>0</v>
          </cell>
          <cell r="F15">
            <v>2</v>
          </cell>
          <cell r="G15">
            <v>14</v>
          </cell>
          <cell r="H15">
            <v>2</v>
          </cell>
          <cell r="I15">
            <v>5</v>
          </cell>
          <cell r="J15">
            <v>8</v>
          </cell>
          <cell r="K15">
            <v>10</v>
          </cell>
          <cell r="L15">
            <v>7</v>
          </cell>
          <cell r="M15">
            <v>0</v>
          </cell>
          <cell r="N15">
            <v>0</v>
          </cell>
          <cell r="O15">
            <v>61</v>
          </cell>
        </row>
        <row r="16">
          <cell r="A16" t="str">
            <v>5 - 6</v>
          </cell>
          <cell r="B16">
            <v>14</v>
          </cell>
          <cell r="C16">
            <v>3</v>
          </cell>
          <cell r="D16">
            <v>11</v>
          </cell>
          <cell r="E16">
            <v>0</v>
          </cell>
          <cell r="F16">
            <v>1</v>
          </cell>
          <cell r="G16">
            <v>8</v>
          </cell>
          <cell r="H16">
            <v>6</v>
          </cell>
          <cell r="I16">
            <v>5</v>
          </cell>
          <cell r="J16">
            <v>5</v>
          </cell>
          <cell r="K16">
            <v>10</v>
          </cell>
          <cell r="L16">
            <v>12</v>
          </cell>
          <cell r="M16">
            <v>0</v>
          </cell>
          <cell r="N16">
            <v>0</v>
          </cell>
          <cell r="O16">
            <v>75</v>
          </cell>
        </row>
        <row r="17">
          <cell r="A17" t="str">
            <v>6 - 7</v>
          </cell>
          <cell r="B17">
            <v>17</v>
          </cell>
          <cell r="C17">
            <v>4</v>
          </cell>
          <cell r="D17">
            <v>21</v>
          </cell>
          <cell r="E17">
            <v>0</v>
          </cell>
          <cell r="F17">
            <v>4</v>
          </cell>
          <cell r="G17">
            <v>13</v>
          </cell>
          <cell r="H17">
            <v>1</v>
          </cell>
          <cell r="I17">
            <v>10</v>
          </cell>
          <cell r="J17">
            <v>12</v>
          </cell>
          <cell r="K17">
            <v>13</v>
          </cell>
          <cell r="L17">
            <v>5</v>
          </cell>
          <cell r="M17">
            <v>0</v>
          </cell>
          <cell r="N17">
            <v>0</v>
          </cell>
          <cell r="O17">
            <v>100</v>
          </cell>
        </row>
        <row r="18">
          <cell r="A18" t="str">
            <v>7 - 8</v>
          </cell>
          <cell r="B18">
            <v>18</v>
          </cell>
          <cell r="C18">
            <v>6</v>
          </cell>
          <cell r="D18">
            <v>6</v>
          </cell>
          <cell r="E18">
            <v>0</v>
          </cell>
          <cell r="F18">
            <v>2</v>
          </cell>
          <cell r="G18">
            <v>8</v>
          </cell>
          <cell r="H18">
            <v>1</v>
          </cell>
          <cell r="I18">
            <v>1</v>
          </cell>
          <cell r="J18">
            <v>7</v>
          </cell>
          <cell r="K18">
            <v>12</v>
          </cell>
          <cell r="L18">
            <v>1</v>
          </cell>
          <cell r="M18">
            <v>1</v>
          </cell>
          <cell r="N18">
            <v>0</v>
          </cell>
          <cell r="O18">
            <v>63</v>
          </cell>
        </row>
        <row r="19">
          <cell r="A19" t="str">
            <v>8 - 9</v>
          </cell>
          <cell r="B19">
            <v>13</v>
          </cell>
          <cell r="C19">
            <v>4</v>
          </cell>
          <cell r="D19">
            <v>5</v>
          </cell>
          <cell r="E19">
            <v>0</v>
          </cell>
          <cell r="F19">
            <v>3</v>
          </cell>
          <cell r="G19">
            <v>4</v>
          </cell>
          <cell r="H19">
            <v>1</v>
          </cell>
          <cell r="I19">
            <v>3</v>
          </cell>
          <cell r="J19">
            <v>1</v>
          </cell>
          <cell r="K19">
            <v>8</v>
          </cell>
          <cell r="L19">
            <v>1</v>
          </cell>
          <cell r="M19">
            <v>0</v>
          </cell>
          <cell r="N19">
            <v>0</v>
          </cell>
          <cell r="O19">
            <v>43</v>
          </cell>
        </row>
        <row r="20">
          <cell r="A20" t="str">
            <v>9 - 10</v>
          </cell>
          <cell r="B20">
            <v>14</v>
          </cell>
          <cell r="C20">
            <v>6</v>
          </cell>
          <cell r="D20">
            <v>11</v>
          </cell>
          <cell r="E20">
            <v>0</v>
          </cell>
          <cell r="F20">
            <v>2</v>
          </cell>
          <cell r="G20">
            <v>16</v>
          </cell>
          <cell r="H20">
            <v>1</v>
          </cell>
          <cell r="I20">
            <v>7</v>
          </cell>
          <cell r="J20">
            <v>12</v>
          </cell>
          <cell r="K20">
            <v>8</v>
          </cell>
          <cell r="L20">
            <v>5</v>
          </cell>
          <cell r="M20">
            <v>0</v>
          </cell>
          <cell r="N20">
            <v>0</v>
          </cell>
          <cell r="O20">
            <v>82</v>
          </cell>
        </row>
        <row r="21">
          <cell r="A21" t="str">
            <v>10 - 11</v>
          </cell>
          <cell r="B21">
            <v>16</v>
          </cell>
          <cell r="C21">
            <v>4</v>
          </cell>
          <cell r="D21">
            <v>22</v>
          </cell>
          <cell r="E21">
            <v>0</v>
          </cell>
          <cell r="F21">
            <v>4</v>
          </cell>
          <cell r="G21">
            <v>14</v>
          </cell>
          <cell r="H21">
            <v>2</v>
          </cell>
          <cell r="I21">
            <v>8</v>
          </cell>
          <cell r="J21">
            <v>7</v>
          </cell>
          <cell r="K21">
            <v>13</v>
          </cell>
          <cell r="L21">
            <v>5</v>
          </cell>
          <cell r="M21">
            <v>2</v>
          </cell>
          <cell r="N21">
            <v>0</v>
          </cell>
          <cell r="O21">
            <v>97</v>
          </cell>
        </row>
        <row r="22">
          <cell r="A22" t="str">
            <v>11 - 12</v>
          </cell>
          <cell r="B22">
            <v>10</v>
          </cell>
          <cell r="C22">
            <v>3</v>
          </cell>
          <cell r="D22">
            <v>11</v>
          </cell>
          <cell r="E22">
            <v>0</v>
          </cell>
          <cell r="F22">
            <v>0</v>
          </cell>
          <cell r="G22">
            <v>12</v>
          </cell>
          <cell r="H22">
            <v>0</v>
          </cell>
          <cell r="I22">
            <v>0</v>
          </cell>
          <cell r="J22">
            <v>7</v>
          </cell>
          <cell r="K22">
            <v>5</v>
          </cell>
          <cell r="L22">
            <v>1</v>
          </cell>
          <cell r="M22">
            <v>3</v>
          </cell>
          <cell r="N22">
            <v>0</v>
          </cell>
          <cell r="O22">
            <v>52</v>
          </cell>
        </row>
        <row r="23">
          <cell r="A23" t="str">
            <v>12 - 13</v>
          </cell>
          <cell r="B23">
            <v>41</v>
          </cell>
          <cell r="C23">
            <v>7</v>
          </cell>
          <cell r="D23">
            <v>21</v>
          </cell>
          <cell r="E23">
            <v>0</v>
          </cell>
          <cell r="F23">
            <v>2</v>
          </cell>
          <cell r="G23">
            <v>12</v>
          </cell>
          <cell r="H23">
            <v>7</v>
          </cell>
          <cell r="I23">
            <v>4</v>
          </cell>
          <cell r="J23">
            <v>6</v>
          </cell>
          <cell r="K23">
            <v>5</v>
          </cell>
          <cell r="L23">
            <v>1</v>
          </cell>
          <cell r="M23">
            <v>0</v>
          </cell>
          <cell r="N23">
            <v>0</v>
          </cell>
          <cell r="O23">
            <v>106</v>
          </cell>
        </row>
        <row r="24">
          <cell r="A24" t="str">
            <v>13 - 14</v>
          </cell>
          <cell r="B24">
            <v>45</v>
          </cell>
          <cell r="C24">
            <v>5</v>
          </cell>
          <cell r="D24">
            <v>28</v>
          </cell>
          <cell r="E24">
            <v>0</v>
          </cell>
          <cell r="F24">
            <v>0</v>
          </cell>
          <cell r="G24">
            <v>15</v>
          </cell>
          <cell r="H24">
            <v>2</v>
          </cell>
          <cell r="I24">
            <v>5</v>
          </cell>
          <cell r="J24">
            <v>16</v>
          </cell>
          <cell r="K24">
            <v>7</v>
          </cell>
          <cell r="L24">
            <v>2</v>
          </cell>
          <cell r="M24">
            <v>0</v>
          </cell>
          <cell r="N24">
            <v>0</v>
          </cell>
          <cell r="O24">
            <v>125</v>
          </cell>
        </row>
        <row r="25">
          <cell r="A25" t="str">
            <v>14 - 15</v>
          </cell>
          <cell r="B25">
            <v>52</v>
          </cell>
          <cell r="C25">
            <v>5</v>
          </cell>
          <cell r="D25">
            <v>23</v>
          </cell>
          <cell r="E25">
            <v>0</v>
          </cell>
          <cell r="F25">
            <v>1</v>
          </cell>
          <cell r="G25">
            <v>9</v>
          </cell>
          <cell r="H25">
            <v>4</v>
          </cell>
          <cell r="I25">
            <v>5</v>
          </cell>
          <cell r="J25">
            <v>8</v>
          </cell>
          <cell r="K25">
            <v>14</v>
          </cell>
          <cell r="L25">
            <v>1</v>
          </cell>
          <cell r="M25">
            <v>1</v>
          </cell>
          <cell r="N25">
            <v>0</v>
          </cell>
          <cell r="O25">
            <v>123</v>
          </cell>
        </row>
        <row r="26">
          <cell r="A26" t="str">
            <v>15 - 16</v>
          </cell>
          <cell r="B26">
            <v>38</v>
          </cell>
          <cell r="C26">
            <v>9</v>
          </cell>
          <cell r="D26">
            <v>32</v>
          </cell>
          <cell r="E26">
            <v>0</v>
          </cell>
          <cell r="F26">
            <v>2</v>
          </cell>
          <cell r="G26">
            <v>10</v>
          </cell>
          <cell r="H26">
            <v>4</v>
          </cell>
          <cell r="I26">
            <v>5</v>
          </cell>
          <cell r="J26">
            <v>20</v>
          </cell>
          <cell r="K26">
            <v>17</v>
          </cell>
          <cell r="L26">
            <v>4</v>
          </cell>
          <cell r="M26">
            <v>1</v>
          </cell>
          <cell r="N26">
            <v>0</v>
          </cell>
          <cell r="O26">
            <v>142</v>
          </cell>
        </row>
        <row r="27">
          <cell r="A27" t="str">
            <v>16 - 17</v>
          </cell>
          <cell r="B27">
            <v>57</v>
          </cell>
          <cell r="C27">
            <v>9</v>
          </cell>
          <cell r="D27">
            <v>26</v>
          </cell>
          <cell r="E27">
            <v>0</v>
          </cell>
          <cell r="F27">
            <v>2</v>
          </cell>
          <cell r="G27">
            <v>14</v>
          </cell>
          <cell r="H27">
            <v>1</v>
          </cell>
          <cell r="I27">
            <v>9</v>
          </cell>
          <cell r="J27">
            <v>6</v>
          </cell>
          <cell r="K27">
            <v>27</v>
          </cell>
          <cell r="L27">
            <v>3</v>
          </cell>
          <cell r="M27">
            <v>0</v>
          </cell>
          <cell r="N27">
            <v>0</v>
          </cell>
          <cell r="O27">
            <v>154</v>
          </cell>
        </row>
        <row r="28">
          <cell r="A28" t="str">
            <v>17 - 18</v>
          </cell>
          <cell r="B28">
            <v>44</v>
          </cell>
          <cell r="C28">
            <v>4</v>
          </cell>
          <cell r="D28">
            <v>20</v>
          </cell>
          <cell r="E28">
            <v>0</v>
          </cell>
          <cell r="F28">
            <v>1</v>
          </cell>
          <cell r="G28">
            <v>13</v>
          </cell>
          <cell r="H28">
            <v>1</v>
          </cell>
          <cell r="I28">
            <v>5</v>
          </cell>
          <cell r="J28">
            <v>12</v>
          </cell>
          <cell r="K28">
            <v>12</v>
          </cell>
          <cell r="L28">
            <v>2</v>
          </cell>
          <cell r="M28">
            <v>0</v>
          </cell>
          <cell r="N28">
            <v>0</v>
          </cell>
          <cell r="O28">
            <v>114</v>
          </cell>
        </row>
        <row r="29">
          <cell r="A29" t="str">
            <v>18 - 19</v>
          </cell>
          <cell r="B29">
            <v>31</v>
          </cell>
          <cell r="C29">
            <v>9</v>
          </cell>
          <cell r="D29">
            <v>19</v>
          </cell>
          <cell r="E29">
            <v>0</v>
          </cell>
          <cell r="F29">
            <v>0</v>
          </cell>
          <cell r="G29">
            <v>7</v>
          </cell>
          <cell r="H29">
            <v>2</v>
          </cell>
          <cell r="I29">
            <v>3</v>
          </cell>
          <cell r="J29">
            <v>8</v>
          </cell>
          <cell r="K29">
            <v>21</v>
          </cell>
          <cell r="L29">
            <v>4</v>
          </cell>
          <cell r="M29">
            <v>0</v>
          </cell>
          <cell r="N29">
            <v>0</v>
          </cell>
          <cell r="O29">
            <v>104</v>
          </cell>
        </row>
        <row r="30">
          <cell r="A30" t="str">
            <v>19 - 20</v>
          </cell>
          <cell r="B30">
            <v>25</v>
          </cell>
          <cell r="C30">
            <v>3</v>
          </cell>
          <cell r="D30">
            <v>9</v>
          </cell>
          <cell r="E30">
            <v>0</v>
          </cell>
          <cell r="F30">
            <v>1</v>
          </cell>
          <cell r="G30">
            <v>10</v>
          </cell>
          <cell r="H30">
            <v>3</v>
          </cell>
          <cell r="I30">
            <v>12</v>
          </cell>
          <cell r="J30">
            <v>14</v>
          </cell>
          <cell r="K30">
            <v>17</v>
          </cell>
          <cell r="L30">
            <v>6</v>
          </cell>
          <cell r="M30">
            <v>0</v>
          </cell>
          <cell r="N30">
            <v>0</v>
          </cell>
          <cell r="O30">
            <v>100</v>
          </cell>
        </row>
        <row r="31">
          <cell r="A31" t="str">
            <v>20 - 21</v>
          </cell>
          <cell r="B31">
            <v>40</v>
          </cell>
          <cell r="C31">
            <v>1</v>
          </cell>
          <cell r="D31">
            <v>13</v>
          </cell>
          <cell r="E31">
            <v>0</v>
          </cell>
          <cell r="F31">
            <v>0</v>
          </cell>
          <cell r="G31">
            <v>9</v>
          </cell>
          <cell r="H31">
            <v>1</v>
          </cell>
          <cell r="I31">
            <v>9</v>
          </cell>
          <cell r="J31">
            <v>14</v>
          </cell>
          <cell r="K31">
            <v>19</v>
          </cell>
          <cell r="L31">
            <v>3</v>
          </cell>
          <cell r="M31">
            <v>0</v>
          </cell>
          <cell r="N31">
            <v>0</v>
          </cell>
          <cell r="O31">
            <v>109</v>
          </cell>
        </row>
        <row r="32">
          <cell r="A32" t="str">
            <v>21 - 22</v>
          </cell>
          <cell r="B32">
            <v>22</v>
          </cell>
          <cell r="C32">
            <v>1</v>
          </cell>
          <cell r="D32">
            <v>9</v>
          </cell>
          <cell r="E32">
            <v>0</v>
          </cell>
          <cell r="F32">
            <v>1</v>
          </cell>
          <cell r="G32">
            <v>11</v>
          </cell>
          <cell r="H32">
            <v>1</v>
          </cell>
          <cell r="I32">
            <v>6</v>
          </cell>
          <cell r="J32">
            <v>19</v>
          </cell>
          <cell r="K32">
            <v>21</v>
          </cell>
          <cell r="L32">
            <v>4</v>
          </cell>
          <cell r="M32">
            <v>2</v>
          </cell>
          <cell r="N32">
            <v>0</v>
          </cell>
          <cell r="O32">
            <v>97</v>
          </cell>
        </row>
        <row r="33">
          <cell r="A33" t="str">
            <v>22 - 23</v>
          </cell>
          <cell r="B33">
            <v>10</v>
          </cell>
          <cell r="C33">
            <v>3</v>
          </cell>
          <cell r="D33">
            <v>4</v>
          </cell>
          <cell r="E33">
            <v>0</v>
          </cell>
          <cell r="F33">
            <v>2</v>
          </cell>
          <cell r="G33">
            <v>8</v>
          </cell>
          <cell r="H33">
            <v>2</v>
          </cell>
          <cell r="I33">
            <v>4</v>
          </cell>
          <cell r="J33">
            <v>9</v>
          </cell>
          <cell r="K33">
            <v>16</v>
          </cell>
          <cell r="L33">
            <v>4</v>
          </cell>
          <cell r="M33">
            <v>0</v>
          </cell>
          <cell r="N33">
            <v>0</v>
          </cell>
          <cell r="O33">
            <v>62</v>
          </cell>
        </row>
        <row r="34">
          <cell r="A34" t="str">
            <v>23 - 24</v>
          </cell>
          <cell r="B34">
            <v>10</v>
          </cell>
          <cell r="C34">
            <v>2</v>
          </cell>
          <cell r="D34">
            <v>8</v>
          </cell>
          <cell r="E34">
            <v>0</v>
          </cell>
          <cell r="F34">
            <v>6</v>
          </cell>
          <cell r="G34">
            <v>12</v>
          </cell>
          <cell r="H34">
            <v>0</v>
          </cell>
          <cell r="I34">
            <v>0</v>
          </cell>
          <cell r="J34">
            <v>3</v>
          </cell>
          <cell r="K34">
            <v>15</v>
          </cell>
          <cell r="L34">
            <v>2</v>
          </cell>
          <cell r="M34">
            <v>0</v>
          </cell>
          <cell r="N34">
            <v>0</v>
          </cell>
          <cell r="O34">
            <v>58</v>
          </cell>
        </row>
        <row r="35">
          <cell r="B35">
            <v>549</v>
          </cell>
          <cell r="C35">
            <v>94</v>
          </cell>
          <cell r="D35">
            <v>323</v>
          </cell>
          <cell r="E35">
            <v>0</v>
          </cell>
          <cell r="F35">
            <v>40</v>
          </cell>
          <cell r="G35">
            <v>268</v>
          </cell>
          <cell r="H35">
            <v>44</v>
          </cell>
          <cell r="I35">
            <v>110</v>
          </cell>
          <cell r="J35">
            <v>219</v>
          </cell>
          <cell r="K35">
            <v>313</v>
          </cell>
          <cell r="L35">
            <v>88</v>
          </cell>
          <cell r="M35">
            <v>10</v>
          </cell>
          <cell r="N35">
            <v>0</v>
          </cell>
        </row>
      </sheetData>
      <sheetData sheetId="1"/>
      <sheetData sheetId="2">
        <row r="11">
          <cell r="B11">
            <v>5</v>
          </cell>
          <cell r="C11">
            <v>0</v>
          </cell>
          <cell r="D11">
            <v>5</v>
          </cell>
          <cell r="E11">
            <v>0</v>
          </cell>
          <cell r="F11">
            <v>0</v>
          </cell>
          <cell r="G11">
            <v>12</v>
          </cell>
          <cell r="H11">
            <v>0</v>
          </cell>
          <cell r="I11">
            <v>0</v>
          </cell>
          <cell r="J11">
            <v>11</v>
          </cell>
          <cell r="K11">
            <v>10</v>
          </cell>
          <cell r="L11">
            <v>5</v>
          </cell>
          <cell r="M11">
            <v>0</v>
          </cell>
          <cell r="N11">
            <v>0</v>
          </cell>
        </row>
        <row r="12">
          <cell r="B12">
            <v>5</v>
          </cell>
          <cell r="C12">
            <v>0</v>
          </cell>
          <cell r="D12">
            <v>8</v>
          </cell>
          <cell r="E12">
            <v>0</v>
          </cell>
          <cell r="F12">
            <v>0</v>
          </cell>
          <cell r="G12">
            <v>10</v>
          </cell>
          <cell r="H12">
            <v>0</v>
          </cell>
          <cell r="I12">
            <v>0</v>
          </cell>
          <cell r="J12">
            <v>10</v>
          </cell>
          <cell r="K12">
            <v>8</v>
          </cell>
          <cell r="L12">
            <v>5</v>
          </cell>
          <cell r="M12">
            <v>0</v>
          </cell>
          <cell r="N12">
            <v>0</v>
          </cell>
        </row>
        <row r="13">
          <cell r="B13">
            <v>5</v>
          </cell>
          <cell r="C13">
            <v>0</v>
          </cell>
          <cell r="D13">
            <v>8</v>
          </cell>
          <cell r="E13">
            <v>0</v>
          </cell>
          <cell r="F13">
            <v>0</v>
          </cell>
          <cell r="G13">
            <v>7</v>
          </cell>
          <cell r="H13">
            <v>0</v>
          </cell>
          <cell r="I13">
            <v>2</v>
          </cell>
          <cell r="J13">
            <v>13</v>
          </cell>
          <cell r="K13">
            <v>8</v>
          </cell>
          <cell r="L13">
            <v>2</v>
          </cell>
          <cell r="M13">
            <v>0</v>
          </cell>
          <cell r="N13">
            <v>0</v>
          </cell>
        </row>
        <row r="14">
          <cell r="B14">
            <v>7</v>
          </cell>
          <cell r="C14">
            <v>1</v>
          </cell>
          <cell r="D14">
            <v>4</v>
          </cell>
          <cell r="E14">
            <v>0</v>
          </cell>
          <cell r="F14">
            <v>3</v>
          </cell>
          <cell r="G14">
            <v>15</v>
          </cell>
          <cell r="H14">
            <v>2</v>
          </cell>
          <cell r="I14">
            <v>2</v>
          </cell>
          <cell r="J14">
            <v>5</v>
          </cell>
          <cell r="K14">
            <v>6</v>
          </cell>
          <cell r="L14">
            <v>4</v>
          </cell>
          <cell r="M14">
            <v>0</v>
          </cell>
          <cell r="N14">
            <v>0</v>
          </cell>
        </row>
        <row r="15">
          <cell r="B15">
            <v>7</v>
          </cell>
          <cell r="C15">
            <v>2</v>
          </cell>
          <cell r="D15">
            <v>2</v>
          </cell>
          <cell r="E15">
            <v>0</v>
          </cell>
          <cell r="F15">
            <v>1</v>
          </cell>
          <cell r="G15">
            <v>6</v>
          </cell>
          <cell r="H15">
            <v>1</v>
          </cell>
          <cell r="I15">
            <v>3</v>
          </cell>
          <cell r="J15">
            <v>5</v>
          </cell>
          <cell r="K15">
            <v>6</v>
          </cell>
          <cell r="L15">
            <v>2</v>
          </cell>
          <cell r="M15">
            <v>0</v>
          </cell>
          <cell r="N15">
            <v>0</v>
          </cell>
        </row>
        <row r="16">
          <cell r="B16">
            <v>17</v>
          </cell>
          <cell r="C16">
            <v>6</v>
          </cell>
          <cell r="D16">
            <v>10</v>
          </cell>
          <cell r="E16">
            <v>0</v>
          </cell>
          <cell r="F16">
            <v>2</v>
          </cell>
          <cell r="G16">
            <v>8</v>
          </cell>
          <cell r="H16">
            <v>5</v>
          </cell>
          <cell r="I16">
            <v>5</v>
          </cell>
          <cell r="J16">
            <v>10</v>
          </cell>
          <cell r="K16">
            <v>14</v>
          </cell>
          <cell r="L16">
            <v>9</v>
          </cell>
          <cell r="M16">
            <v>0</v>
          </cell>
          <cell r="N16">
            <v>0</v>
          </cell>
        </row>
        <row r="17">
          <cell r="B17">
            <v>23</v>
          </cell>
          <cell r="C17">
            <v>1</v>
          </cell>
          <cell r="D17">
            <v>19</v>
          </cell>
          <cell r="E17">
            <v>1</v>
          </cell>
          <cell r="F17">
            <v>2</v>
          </cell>
          <cell r="G17">
            <v>13</v>
          </cell>
          <cell r="H17">
            <v>1</v>
          </cell>
          <cell r="I17">
            <v>2</v>
          </cell>
          <cell r="J17">
            <v>9</v>
          </cell>
          <cell r="K17">
            <v>8</v>
          </cell>
          <cell r="L17">
            <v>5</v>
          </cell>
          <cell r="M17">
            <v>1</v>
          </cell>
          <cell r="N17">
            <v>0</v>
          </cell>
        </row>
        <row r="18">
          <cell r="B18">
            <v>25</v>
          </cell>
          <cell r="C18">
            <v>5</v>
          </cell>
          <cell r="D18">
            <v>8</v>
          </cell>
          <cell r="E18">
            <v>1</v>
          </cell>
          <cell r="F18">
            <v>0</v>
          </cell>
          <cell r="G18">
            <v>10</v>
          </cell>
          <cell r="H18">
            <v>2</v>
          </cell>
          <cell r="I18">
            <v>0</v>
          </cell>
          <cell r="J18">
            <v>11</v>
          </cell>
          <cell r="K18">
            <v>11</v>
          </cell>
          <cell r="L18">
            <v>2</v>
          </cell>
          <cell r="M18">
            <v>0</v>
          </cell>
          <cell r="N18">
            <v>0</v>
          </cell>
        </row>
        <row r="19">
          <cell r="B19">
            <v>36</v>
          </cell>
          <cell r="C19">
            <v>9</v>
          </cell>
          <cell r="D19">
            <v>13</v>
          </cell>
          <cell r="E19">
            <v>0</v>
          </cell>
          <cell r="F19">
            <v>1</v>
          </cell>
          <cell r="G19">
            <v>5</v>
          </cell>
          <cell r="H19">
            <v>0</v>
          </cell>
          <cell r="I19">
            <v>1</v>
          </cell>
          <cell r="J19">
            <v>3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</row>
        <row r="20">
          <cell r="B20">
            <v>14</v>
          </cell>
          <cell r="C20">
            <v>3</v>
          </cell>
          <cell r="D20">
            <v>11</v>
          </cell>
          <cell r="E20">
            <v>0</v>
          </cell>
          <cell r="F20">
            <v>5</v>
          </cell>
          <cell r="G20">
            <v>12</v>
          </cell>
          <cell r="H20">
            <v>0</v>
          </cell>
          <cell r="I20">
            <v>4</v>
          </cell>
          <cell r="J20">
            <v>15</v>
          </cell>
          <cell r="K20">
            <v>13</v>
          </cell>
          <cell r="L20">
            <v>2</v>
          </cell>
          <cell r="M20">
            <v>0</v>
          </cell>
          <cell r="N20">
            <v>0</v>
          </cell>
        </row>
        <row r="21">
          <cell r="B21">
            <v>13</v>
          </cell>
          <cell r="C21">
            <v>3</v>
          </cell>
          <cell r="D21">
            <v>14</v>
          </cell>
          <cell r="E21">
            <v>0</v>
          </cell>
          <cell r="F21">
            <v>4</v>
          </cell>
          <cell r="G21">
            <v>12</v>
          </cell>
          <cell r="H21">
            <v>0</v>
          </cell>
          <cell r="I21">
            <v>7</v>
          </cell>
          <cell r="J21">
            <v>12</v>
          </cell>
          <cell r="K21">
            <v>14</v>
          </cell>
          <cell r="L21">
            <v>5</v>
          </cell>
          <cell r="M21">
            <v>0</v>
          </cell>
          <cell r="N21">
            <v>0</v>
          </cell>
        </row>
        <row r="22">
          <cell r="B22">
            <v>20</v>
          </cell>
          <cell r="C22">
            <v>7</v>
          </cell>
          <cell r="D22">
            <v>8</v>
          </cell>
          <cell r="E22">
            <v>0</v>
          </cell>
          <cell r="F22">
            <v>0</v>
          </cell>
          <cell r="G22">
            <v>15</v>
          </cell>
          <cell r="H22">
            <v>1</v>
          </cell>
          <cell r="I22">
            <v>1</v>
          </cell>
          <cell r="J22">
            <v>7</v>
          </cell>
          <cell r="K22">
            <v>10</v>
          </cell>
          <cell r="L22">
            <v>2</v>
          </cell>
          <cell r="M22">
            <v>0</v>
          </cell>
          <cell r="N22">
            <v>0</v>
          </cell>
        </row>
        <row r="23">
          <cell r="B23">
            <v>31</v>
          </cell>
          <cell r="C23">
            <v>2</v>
          </cell>
          <cell r="D23">
            <v>15</v>
          </cell>
          <cell r="E23">
            <v>0</v>
          </cell>
          <cell r="F23">
            <v>3</v>
          </cell>
          <cell r="G23">
            <v>9</v>
          </cell>
          <cell r="H23">
            <v>1</v>
          </cell>
          <cell r="I23">
            <v>1</v>
          </cell>
          <cell r="J23">
            <v>4</v>
          </cell>
          <cell r="K23">
            <v>4</v>
          </cell>
          <cell r="L23">
            <v>1</v>
          </cell>
          <cell r="M23">
            <v>3</v>
          </cell>
          <cell r="N23">
            <v>0</v>
          </cell>
        </row>
        <row r="24">
          <cell r="B24">
            <v>30</v>
          </cell>
          <cell r="C24">
            <v>4</v>
          </cell>
          <cell r="D24">
            <v>19</v>
          </cell>
          <cell r="E24">
            <v>0</v>
          </cell>
          <cell r="F24">
            <v>1</v>
          </cell>
          <cell r="G24">
            <v>8</v>
          </cell>
          <cell r="H24">
            <v>1</v>
          </cell>
          <cell r="I24">
            <v>2</v>
          </cell>
          <cell r="J24">
            <v>2</v>
          </cell>
          <cell r="K24">
            <v>10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33</v>
          </cell>
          <cell r="C25">
            <v>2</v>
          </cell>
          <cell r="D25">
            <v>13</v>
          </cell>
          <cell r="E25">
            <v>1</v>
          </cell>
          <cell r="F25">
            <v>0</v>
          </cell>
          <cell r="G25">
            <v>5</v>
          </cell>
          <cell r="H25">
            <v>0</v>
          </cell>
          <cell r="I25">
            <v>2</v>
          </cell>
          <cell r="J25">
            <v>2</v>
          </cell>
          <cell r="K25">
            <v>4</v>
          </cell>
          <cell r="L25">
            <v>0</v>
          </cell>
          <cell r="M25">
            <v>3</v>
          </cell>
          <cell r="N25">
            <v>0</v>
          </cell>
        </row>
        <row r="26">
          <cell r="B26">
            <v>41</v>
          </cell>
          <cell r="C26">
            <v>2</v>
          </cell>
          <cell r="D26">
            <v>9</v>
          </cell>
          <cell r="E26">
            <v>0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4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44</v>
          </cell>
          <cell r="C27">
            <v>7</v>
          </cell>
          <cell r="D27">
            <v>11</v>
          </cell>
          <cell r="E27">
            <v>0</v>
          </cell>
          <cell r="F27">
            <v>0</v>
          </cell>
          <cell r="G27">
            <v>9</v>
          </cell>
          <cell r="H27">
            <v>1</v>
          </cell>
          <cell r="I27">
            <v>7</v>
          </cell>
          <cell r="J27">
            <v>3</v>
          </cell>
          <cell r="K27">
            <v>9</v>
          </cell>
          <cell r="L27">
            <v>1</v>
          </cell>
          <cell r="M27">
            <v>0</v>
          </cell>
          <cell r="N27">
            <v>0</v>
          </cell>
        </row>
        <row r="28">
          <cell r="B28">
            <v>37</v>
          </cell>
          <cell r="C28">
            <v>7</v>
          </cell>
          <cell r="D28">
            <v>14</v>
          </cell>
          <cell r="E28">
            <v>0</v>
          </cell>
          <cell r="F28">
            <v>1</v>
          </cell>
          <cell r="G28">
            <v>6</v>
          </cell>
          <cell r="H28">
            <v>0</v>
          </cell>
          <cell r="I28">
            <v>7</v>
          </cell>
          <cell r="J28">
            <v>4</v>
          </cell>
          <cell r="K28">
            <v>9</v>
          </cell>
          <cell r="L28">
            <v>3</v>
          </cell>
          <cell r="M28">
            <v>0</v>
          </cell>
          <cell r="N28">
            <v>0</v>
          </cell>
        </row>
        <row r="29">
          <cell r="B29">
            <v>34</v>
          </cell>
          <cell r="C29">
            <v>6</v>
          </cell>
          <cell r="D29">
            <v>17</v>
          </cell>
          <cell r="E29">
            <v>0</v>
          </cell>
          <cell r="F29">
            <v>1</v>
          </cell>
          <cell r="G29">
            <v>8</v>
          </cell>
          <cell r="H29">
            <v>2</v>
          </cell>
          <cell r="I29">
            <v>7</v>
          </cell>
          <cell r="J29">
            <v>9</v>
          </cell>
          <cell r="K29">
            <v>17</v>
          </cell>
          <cell r="L29">
            <v>3</v>
          </cell>
          <cell r="M29">
            <v>0</v>
          </cell>
          <cell r="N29">
            <v>0</v>
          </cell>
        </row>
        <row r="30">
          <cell r="B30">
            <v>35</v>
          </cell>
          <cell r="C30">
            <v>9</v>
          </cell>
          <cell r="D30">
            <v>11</v>
          </cell>
          <cell r="E30">
            <v>0</v>
          </cell>
          <cell r="F30">
            <v>1</v>
          </cell>
          <cell r="G30">
            <v>8</v>
          </cell>
          <cell r="H30">
            <v>3</v>
          </cell>
          <cell r="I30">
            <v>5</v>
          </cell>
          <cell r="J30">
            <v>5</v>
          </cell>
          <cell r="K30">
            <v>12</v>
          </cell>
          <cell r="L30">
            <v>4</v>
          </cell>
          <cell r="M30">
            <v>0</v>
          </cell>
          <cell r="N30">
            <v>0</v>
          </cell>
        </row>
        <row r="31">
          <cell r="B31">
            <v>23</v>
          </cell>
          <cell r="C31">
            <v>4</v>
          </cell>
          <cell r="D31">
            <v>12</v>
          </cell>
          <cell r="E31">
            <v>0</v>
          </cell>
          <cell r="F31">
            <v>0</v>
          </cell>
          <cell r="G31">
            <v>8</v>
          </cell>
          <cell r="H31">
            <v>2</v>
          </cell>
          <cell r="I31">
            <v>0</v>
          </cell>
          <cell r="J31">
            <v>4</v>
          </cell>
          <cell r="K31">
            <v>27</v>
          </cell>
          <cell r="L31">
            <v>4</v>
          </cell>
          <cell r="M31">
            <v>1</v>
          </cell>
          <cell r="N31">
            <v>0</v>
          </cell>
        </row>
        <row r="32">
          <cell r="B32">
            <v>27</v>
          </cell>
          <cell r="C32">
            <v>7</v>
          </cell>
          <cell r="D32">
            <v>7</v>
          </cell>
          <cell r="E32">
            <v>0</v>
          </cell>
          <cell r="F32">
            <v>1</v>
          </cell>
          <cell r="G32">
            <v>5</v>
          </cell>
          <cell r="H32">
            <v>0</v>
          </cell>
          <cell r="I32">
            <v>2</v>
          </cell>
          <cell r="J32">
            <v>5</v>
          </cell>
          <cell r="K32">
            <v>14</v>
          </cell>
          <cell r="L32">
            <v>3</v>
          </cell>
          <cell r="M32">
            <v>0</v>
          </cell>
          <cell r="N32">
            <v>0</v>
          </cell>
        </row>
        <row r="33">
          <cell r="B33">
            <v>9</v>
          </cell>
          <cell r="C33">
            <v>0</v>
          </cell>
          <cell r="D33">
            <v>3</v>
          </cell>
          <cell r="E33">
            <v>0</v>
          </cell>
          <cell r="F33">
            <v>0</v>
          </cell>
          <cell r="G33">
            <v>5</v>
          </cell>
          <cell r="H33">
            <v>0</v>
          </cell>
          <cell r="I33">
            <v>1</v>
          </cell>
          <cell r="J33">
            <v>11</v>
          </cell>
          <cell r="K33">
            <v>17</v>
          </cell>
          <cell r="L33">
            <v>2</v>
          </cell>
          <cell r="M33">
            <v>0</v>
          </cell>
          <cell r="N33">
            <v>0</v>
          </cell>
        </row>
        <row r="34">
          <cell r="B34">
            <v>10</v>
          </cell>
          <cell r="C34">
            <v>0</v>
          </cell>
          <cell r="D34">
            <v>6</v>
          </cell>
          <cell r="E34">
            <v>0</v>
          </cell>
          <cell r="F34">
            <v>0</v>
          </cell>
          <cell r="G34">
            <v>6</v>
          </cell>
          <cell r="H34">
            <v>0</v>
          </cell>
          <cell r="I34">
            <v>7</v>
          </cell>
          <cell r="J34">
            <v>6</v>
          </cell>
          <cell r="K34">
            <v>26</v>
          </cell>
          <cell r="L34">
            <v>3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 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8</v>
          </cell>
          <cell r="C11">
            <v>4</v>
          </cell>
          <cell r="D11">
            <v>4</v>
          </cell>
          <cell r="E11">
            <v>0</v>
          </cell>
          <cell r="F11">
            <v>4</v>
          </cell>
          <cell r="G11">
            <v>6</v>
          </cell>
          <cell r="H11">
            <v>0</v>
          </cell>
          <cell r="I11">
            <v>5</v>
          </cell>
          <cell r="J11">
            <v>11</v>
          </cell>
          <cell r="K11">
            <v>5</v>
          </cell>
          <cell r="L11">
            <v>3</v>
          </cell>
          <cell r="M11">
            <v>1</v>
          </cell>
          <cell r="N11">
            <v>0</v>
          </cell>
          <cell r="O11">
            <v>51</v>
          </cell>
        </row>
        <row r="12">
          <cell r="A12" t="str">
            <v>1 - 2</v>
          </cell>
          <cell r="B12">
            <v>2</v>
          </cell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19</v>
          </cell>
          <cell r="H12">
            <v>1</v>
          </cell>
          <cell r="I12">
            <v>3</v>
          </cell>
          <cell r="J12">
            <v>3</v>
          </cell>
          <cell r="K12">
            <v>4</v>
          </cell>
          <cell r="L12">
            <v>0</v>
          </cell>
          <cell r="M12">
            <v>0</v>
          </cell>
          <cell r="N12">
            <v>0</v>
          </cell>
          <cell r="O12">
            <v>35</v>
          </cell>
        </row>
        <row r="13">
          <cell r="A13" t="str">
            <v>2 - 3</v>
          </cell>
          <cell r="B13">
            <v>3</v>
          </cell>
          <cell r="C13">
            <v>0</v>
          </cell>
          <cell r="D13">
            <v>3</v>
          </cell>
          <cell r="E13">
            <v>0</v>
          </cell>
          <cell r="F13">
            <v>2</v>
          </cell>
          <cell r="G13">
            <v>20</v>
          </cell>
          <cell r="H13">
            <v>0</v>
          </cell>
          <cell r="I13">
            <v>3</v>
          </cell>
          <cell r="J13">
            <v>4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38</v>
          </cell>
        </row>
        <row r="14">
          <cell r="A14" t="str">
            <v>3 - 4</v>
          </cell>
          <cell r="B14">
            <v>8</v>
          </cell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9</v>
          </cell>
          <cell r="H14">
            <v>0</v>
          </cell>
          <cell r="I14">
            <v>2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28</v>
          </cell>
        </row>
        <row r="15">
          <cell r="A15" t="str">
            <v>4 - 5</v>
          </cell>
          <cell r="B15">
            <v>4</v>
          </cell>
          <cell r="C15">
            <v>1</v>
          </cell>
          <cell r="D15">
            <v>5</v>
          </cell>
          <cell r="E15">
            <v>0</v>
          </cell>
          <cell r="F15">
            <v>0</v>
          </cell>
          <cell r="G15">
            <v>7</v>
          </cell>
          <cell r="H15">
            <v>0</v>
          </cell>
          <cell r="I15">
            <v>1</v>
          </cell>
          <cell r="J15">
            <v>7</v>
          </cell>
          <cell r="K15">
            <v>11</v>
          </cell>
          <cell r="L15">
            <v>2</v>
          </cell>
          <cell r="M15">
            <v>0</v>
          </cell>
          <cell r="N15">
            <v>0</v>
          </cell>
          <cell r="O15">
            <v>38</v>
          </cell>
        </row>
        <row r="16">
          <cell r="A16" t="str">
            <v>5 - 6</v>
          </cell>
          <cell r="B16">
            <v>7</v>
          </cell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7</v>
          </cell>
          <cell r="H16">
            <v>0</v>
          </cell>
          <cell r="I16">
            <v>7</v>
          </cell>
          <cell r="J16">
            <v>10</v>
          </cell>
          <cell r="K16">
            <v>13</v>
          </cell>
          <cell r="L16">
            <v>2</v>
          </cell>
          <cell r="M16">
            <v>0</v>
          </cell>
          <cell r="N16">
            <v>0</v>
          </cell>
          <cell r="O16">
            <v>52</v>
          </cell>
        </row>
        <row r="17">
          <cell r="A17" t="str">
            <v>6 - 7</v>
          </cell>
          <cell r="B17">
            <v>22</v>
          </cell>
          <cell r="C17">
            <v>1</v>
          </cell>
          <cell r="D17">
            <v>4</v>
          </cell>
          <cell r="E17">
            <v>0</v>
          </cell>
          <cell r="F17">
            <v>1</v>
          </cell>
          <cell r="G17">
            <v>3</v>
          </cell>
          <cell r="H17">
            <v>1</v>
          </cell>
          <cell r="I17">
            <v>2</v>
          </cell>
          <cell r="J17">
            <v>8</v>
          </cell>
          <cell r="K17">
            <v>6</v>
          </cell>
          <cell r="L17">
            <v>0</v>
          </cell>
          <cell r="M17">
            <v>1</v>
          </cell>
          <cell r="N17">
            <v>0</v>
          </cell>
          <cell r="O17">
            <v>49</v>
          </cell>
        </row>
        <row r="18">
          <cell r="A18" t="str">
            <v>7 - 8</v>
          </cell>
          <cell r="B18">
            <v>13</v>
          </cell>
          <cell r="C18">
            <v>2</v>
          </cell>
          <cell r="D18">
            <v>6</v>
          </cell>
          <cell r="E18">
            <v>0</v>
          </cell>
          <cell r="F18">
            <v>2</v>
          </cell>
          <cell r="G18">
            <v>3</v>
          </cell>
          <cell r="H18">
            <v>0</v>
          </cell>
          <cell r="I18">
            <v>6</v>
          </cell>
          <cell r="J18">
            <v>3</v>
          </cell>
          <cell r="K18">
            <v>11</v>
          </cell>
          <cell r="L18">
            <v>0</v>
          </cell>
          <cell r="M18">
            <v>0</v>
          </cell>
          <cell r="N18">
            <v>0</v>
          </cell>
          <cell r="O18">
            <v>46</v>
          </cell>
        </row>
        <row r="19">
          <cell r="A19" t="str">
            <v>8 - 9</v>
          </cell>
          <cell r="B19">
            <v>26</v>
          </cell>
          <cell r="C19">
            <v>7</v>
          </cell>
          <cell r="D19">
            <v>7</v>
          </cell>
          <cell r="E19">
            <v>0</v>
          </cell>
          <cell r="F19">
            <v>1</v>
          </cell>
          <cell r="G19">
            <v>4</v>
          </cell>
          <cell r="H19">
            <v>2</v>
          </cell>
          <cell r="I19">
            <v>5</v>
          </cell>
          <cell r="J19">
            <v>7</v>
          </cell>
          <cell r="K19">
            <v>14</v>
          </cell>
          <cell r="L19">
            <v>1</v>
          </cell>
          <cell r="M19">
            <v>1</v>
          </cell>
          <cell r="N19">
            <v>0</v>
          </cell>
          <cell r="O19">
            <v>75</v>
          </cell>
        </row>
        <row r="20">
          <cell r="A20" t="str">
            <v>9 - 10</v>
          </cell>
          <cell r="B20">
            <v>25</v>
          </cell>
          <cell r="C20">
            <v>2</v>
          </cell>
          <cell r="D20">
            <v>11</v>
          </cell>
          <cell r="E20">
            <v>0</v>
          </cell>
          <cell r="F20">
            <v>0</v>
          </cell>
          <cell r="G20">
            <v>3</v>
          </cell>
          <cell r="H20">
            <v>1</v>
          </cell>
          <cell r="I20">
            <v>7</v>
          </cell>
          <cell r="J20">
            <v>4</v>
          </cell>
          <cell r="K20">
            <v>5</v>
          </cell>
          <cell r="L20">
            <v>2</v>
          </cell>
          <cell r="M20">
            <v>0</v>
          </cell>
          <cell r="N20">
            <v>0</v>
          </cell>
          <cell r="O20">
            <v>60</v>
          </cell>
        </row>
        <row r="21">
          <cell r="A21" t="str">
            <v>10 - 11</v>
          </cell>
          <cell r="B21">
            <v>33</v>
          </cell>
          <cell r="C21">
            <v>3</v>
          </cell>
          <cell r="D21">
            <v>15</v>
          </cell>
          <cell r="E21">
            <v>0</v>
          </cell>
          <cell r="F21">
            <v>2</v>
          </cell>
          <cell r="G21">
            <v>8</v>
          </cell>
          <cell r="H21">
            <v>1</v>
          </cell>
          <cell r="I21">
            <v>4</v>
          </cell>
          <cell r="J21">
            <v>4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76</v>
          </cell>
        </row>
        <row r="22">
          <cell r="A22" t="str">
            <v>11 - 12</v>
          </cell>
          <cell r="B22">
            <v>40</v>
          </cell>
          <cell r="C22">
            <v>1</v>
          </cell>
          <cell r="D22">
            <v>20</v>
          </cell>
          <cell r="E22">
            <v>0</v>
          </cell>
          <cell r="F22">
            <v>1</v>
          </cell>
          <cell r="G22">
            <v>8</v>
          </cell>
          <cell r="H22">
            <v>0</v>
          </cell>
          <cell r="I22">
            <v>3</v>
          </cell>
          <cell r="J22">
            <v>1</v>
          </cell>
          <cell r="K22">
            <v>5</v>
          </cell>
          <cell r="L22">
            <v>3</v>
          </cell>
          <cell r="M22">
            <v>1</v>
          </cell>
          <cell r="N22">
            <v>0</v>
          </cell>
          <cell r="O22">
            <v>83</v>
          </cell>
        </row>
        <row r="23">
          <cell r="A23" t="str">
            <v>12 - 13</v>
          </cell>
          <cell r="B23">
            <v>30</v>
          </cell>
          <cell r="C23">
            <v>8</v>
          </cell>
          <cell r="D23">
            <v>19</v>
          </cell>
          <cell r="E23">
            <v>0</v>
          </cell>
          <cell r="F23">
            <v>6</v>
          </cell>
          <cell r="G23">
            <v>12</v>
          </cell>
          <cell r="H23">
            <v>2</v>
          </cell>
          <cell r="I23">
            <v>13</v>
          </cell>
          <cell r="J23">
            <v>3</v>
          </cell>
          <cell r="K23">
            <v>7</v>
          </cell>
          <cell r="L23">
            <v>2</v>
          </cell>
          <cell r="M23">
            <v>1</v>
          </cell>
          <cell r="N23">
            <v>0</v>
          </cell>
          <cell r="O23">
            <v>103</v>
          </cell>
        </row>
        <row r="24">
          <cell r="A24" t="str">
            <v>13 - 14</v>
          </cell>
          <cell r="B24">
            <v>45</v>
          </cell>
          <cell r="C24">
            <v>5</v>
          </cell>
          <cell r="D24">
            <v>25</v>
          </cell>
          <cell r="E24">
            <v>0</v>
          </cell>
          <cell r="F24">
            <v>4</v>
          </cell>
          <cell r="G24">
            <v>11</v>
          </cell>
          <cell r="H24">
            <v>2</v>
          </cell>
          <cell r="I24">
            <v>6</v>
          </cell>
          <cell r="J24">
            <v>6</v>
          </cell>
          <cell r="K24">
            <v>15</v>
          </cell>
          <cell r="L24">
            <v>5</v>
          </cell>
          <cell r="M24">
            <v>2</v>
          </cell>
          <cell r="N24">
            <v>0</v>
          </cell>
          <cell r="O24">
            <v>126</v>
          </cell>
        </row>
        <row r="25">
          <cell r="A25" t="str">
            <v>14 - 15</v>
          </cell>
          <cell r="B25">
            <v>48</v>
          </cell>
          <cell r="C25">
            <v>2</v>
          </cell>
          <cell r="D25">
            <v>14</v>
          </cell>
          <cell r="E25">
            <v>0</v>
          </cell>
          <cell r="F25">
            <v>10</v>
          </cell>
          <cell r="G25">
            <v>11</v>
          </cell>
          <cell r="H25">
            <v>5</v>
          </cell>
          <cell r="I25">
            <v>3</v>
          </cell>
          <cell r="J25">
            <v>9</v>
          </cell>
          <cell r="K25">
            <v>16</v>
          </cell>
          <cell r="L25">
            <v>2</v>
          </cell>
          <cell r="M25">
            <v>0</v>
          </cell>
          <cell r="N25">
            <v>0</v>
          </cell>
          <cell r="O25">
            <v>120</v>
          </cell>
        </row>
        <row r="26">
          <cell r="A26" t="str">
            <v>15 - 16</v>
          </cell>
          <cell r="B26">
            <v>49</v>
          </cell>
          <cell r="C26">
            <v>7</v>
          </cell>
          <cell r="D26">
            <v>18</v>
          </cell>
          <cell r="E26">
            <v>0</v>
          </cell>
          <cell r="F26">
            <v>0</v>
          </cell>
          <cell r="G26">
            <v>18</v>
          </cell>
          <cell r="H26">
            <v>1</v>
          </cell>
          <cell r="I26">
            <v>4</v>
          </cell>
          <cell r="J26">
            <v>9</v>
          </cell>
          <cell r="K26">
            <v>17</v>
          </cell>
          <cell r="L26">
            <v>3</v>
          </cell>
          <cell r="M26">
            <v>0</v>
          </cell>
          <cell r="N26">
            <v>0</v>
          </cell>
          <cell r="O26">
            <v>126</v>
          </cell>
        </row>
        <row r="27">
          <cell r="A27" t="str">
            <v>16 - 17</v>
          </cell>
          <cell r="B27">
            <v>60</v>
          </cell>
          <cell r="C27">
            <v>5</v>
          </cell>
          <cell r="D27">
            <v>22</v>
          </cell>
          <cell r="E27">
            <v>0</v>
          </cell>
          <cell r="F27">
            <v>1</v>
          </cell>
          <cell r="G27">
            <v>18</v>
          </cell>
          <cell r="H27">
            <v>0</v>
          </cell>
          <cell r="I27">
            <v>7</v>
          </cell>
          <cell r="J27">
            <v>9</v>
          </cell>
          <cell r="K27">
            <v>9</v>
          </cell>
          <cell r="L27">
            <v>0</v>
          </cell>
          <cell r="M27">
            <v>1</v>
          </cell>
          <cell r="N27">
            <v>0</v>
          </cell>
          <cell r="O27">
            <v>132</v>
          </cell>
        </row>
        <row r="28">
          <cell r="A28" t="str">
            <v>17 - 18</v>
          </cell>
          <cell r="B28">
            <v>52</v>
          </cell>
          <cell r="C28">
            <v>6</v>
          </cell>
          <cell r="D28">
            <v>27</v>
          </cell>
          <cell r="E28">
            <v>0</v>
          </cell>
          <cell r="F28">
            <v>1</v>
          </cell>
          <cell r="G28">
            <v>16</v>
          </cell>
          <cell r="H28">
            <v>2</v>
          </cell>
          <cell r="I28">
            <v>6</v>
          </cell>
          <cell r="J28">
            <v>9</v>
          </cell>
          <cell r="K28">
            <v>13</v>
          </cell>
          <cell r="L28">
            <v>6</v>
          </cell>
          <cell r="M28">
            <v>1</v>
          </cell>
          <cell r="N28">
            <v>0</v>
          </cell>
          <cell r="O28">
            <v>139</v>
          </cell>
        </row>
        <row r="29">
          <cell r="A29" t="str">
            <v>18 - 19</v>
          </cell>
          <cell r="B29">
            <v>65</v>
          </cell>
          <cell r="C29">
            <v>8</v>
          </cell>
          <cell r="D29">
            <v>18</v>
          </cell>
          <cell r="E29">
            <v>0</v>
          </cell>
          <cell r="F29">
            <v>2</v>
          </cell>
          <cell r="G29">
            <v>10</v>
          </cell>
          <cell r="H29">
            <v>1</v>
          </cell>
          <cell r="I29">
            <v>4</v>
          </cell>
          <cell r="J29">
            <v>8</v>
          </cell>
          <cell r="K29">
            <v>16</v>
          </cell>
          <cell r="L29">
            <v>2</v>
          </cell>
          <cell r="M29">
            <v>3</v>
          </cell>
          <cell r="N29">
            <v>0</v>
          </cell>
          <cell r="O29">
            <v>137</v>
          </cell>
        </row>
        <row r="30">
          <cell r="A30" t="str">
            <v>19 - 20</v>
          </cell>
          <cell r="B30">
            <v>31</v>
          </cell>
          <cell r="C30">
            <v>1</v>
          </cell>
          <cell r="D30">
            <v>12</v>
          </cell>
          <cell r="E30">
            <v>0</v>
          </cell>
          <cell r="F30">
            <v>1</v>
          </cell>
          <cell r="G30">
            <v>9</v>
          </cell>
          <cell r="H30">
            <v>1</v>
          </cell>
          <cell r="I30">
            <v>2</v>
          </cell>
          <cell r="J30">
            <v>2</v>
          </cell>
          <cell r="K30">
            <v>4</v>
          </cell>
          <cell r="L30">
            <v>3</v>
          </cell>
          <cell r="M30">
            <v>0</v>
          </cell>
          <cell r="N30">
            <v>0</v>
          </cell>
          <cell r="O30">
            <v>66</v>
          </cell>
        </row>
        <row r="31">
          <cell r="A31" t="str">
            <v>20 - 21</v>
          </cell>
          <cell r="B31">
            <v>21</v>
          </cell>
          <cell r="C31">
            <v>5</v>
          </cell>
          <cell r="D31">
            <v>9</v>
          </cell>
          <cell r="E31">
            <v>0</v>
          </cell>
          <cell r="F31">
            <v>0</v>
          </cell>
          <cell r="G31">
            <v>4</v>
          </cell>
          <cell r="H31">
            <v>0</v>
          </cell>
          <cell r="I31">
            <v>2</v>
          </cell>
          <cell r="J31">
            <v>2</v>
          </cell>
          <cell r="K31">
            <v>13</v>
          </cell>
          <cell r="L31">
            <v>0</v>
          </cell>
          <cell r="M31">
            <v>0</v>
          </cell>
          <cell r="N31">
            <v>0</v>
          </cell>
          <cell r="O31">
            <v>56</v>
          </cell>
        </row>
        <row r="32">
          <cell r="A32" t="str">
            <v>21 - 22</v>
          </cell>
          <cell r="B32">
            <v>21</v>
          </cell>
          <cell r="C32">
            <v>3</v>
          </cell>
          <cell r="D32">
            <v>10</v>
          </cell>
          <cell r="E32">
            <v>0</v>
          </cell>
          <cell r="F32">
            <v>0</v>
          </cell>
          <cell r="G32">
            <v>15</v>
          </cell>
          <cell r="H32">
            <v>0</v>
          </cell>
          <cell r="I32">
            <v>7</v>
          </cell>
          <cell r="J32">
            <v>4</v>
          </cell>
          <cell r="K32">
            <v>8</v>
          </cell>
          <cell r="L32">
            <v>1</v>
          </cell>
          <cell r="M32">
            <v>0</v>
          </cell>
          <cell r="N32">
            <v>0</v>
          </cell>
          <cell r="O32">
            <v>69</v>
          </cell>
        </row>
        <row r="33">
          <cell r="A33" t="str">
            <v>22 - 23</v>
          </cell>
          <cell r="B33">
            <v>18</v>
          </cell>
          <cell r="C33">
            <v>2</v>
          </cell>
          <cell r="D33">
            <v>10</v>
          </cell>
          <cell r="E33">
            <v>0</v>
          </cell>
          <cell r="F33">
            <v>2</v>
          </cell>
          <cell r="G33">
            <v>6</v>
          </cell>
          <cell r="H33">
            <v>0</v>
          </cell>
          <cell r="I33">
            <v>4</v>
          </cell>
          <cell r="J33">
            <v>5</v>
          </cell>
          <cell r="K33">
            <v>3</v>
          </cell>
          <cell r="L33">
            <v>0</v>
          </cell>
          <cell r="M33">
            <v>0</v>
          </cell>
          <cell r="N33">
            <v>0</v>
          </cell>
          <cell r="O33">
            <v>50</v>
          </cell>
        </row>
        <row r="34">
          <cell r="A34" t="str">
            <v>23 - 24</v>
          </cell>
          <cell r="B34">
            <v>11</v>
          </cell>
          <cell r="C34">
            <v>0</v>
          </cell>
          <cell r="D34">
            <v>4</v>
          </cell>
          <cell r="E34">
            <v>0</v>
          </cell>
          <cell r="F34">
            <v>5</v>
          </cell>
          <cell r="G34">
            <v>18</v>
          </cell>
          <cell r="H34">
            <v>0</v>
          </cell>
          <cell r="I34">
            <v>3</v>
          </cell>
          <cell r="J34">
            <v>5</v>
          </cell>
          <cell r="K34">
            <v>5</v>
          </cell>
          <cell r="L34">
            <v>4</v>
          </cell>
          <cell r="M34">
            <v>0</v>
          </cell>
          <cell r="N34">
            <v>0</v>
          </cell>
          <cell r="O34">
            <v>55</v>
          </cell>
        </row>
        <row r="35">
          <cell r="B35">
            <v>642</v>
          </cell>
          <cell r="C35">
            <v>74</v>
          </cell>
          <cell r="D35">
            <v>273</v>
          </cell>
          <cell r="E35">
            <v>0</v>
          </cell>
          <cell r="F35">
            <v>48</v>
          </cell>
          <cell r="G35">
            <v>245</v>
          </cell>
          <cell r="H35">
            <v>20</v>
          </cell>
          <cell r="I35">
            <v>109</v>
          </cell>
          <cell r="J35">
            <v>135</v>
          </cell>
          <cell r="K35">
            <v>209</v>
          </cell>
          <cell r="L35">
            <v>42</v>
          </cell>
          <cell r="M35">
            <v>13</v>
          </cell>
          <cell r="N35">
            <v>0</v>
          </cell>
        </row>
      </sheetData>
      <sheetData sheetId="1"/>
      <sheetData sheetId="2">
        <row r="11">
          <cell r="B11">
            <v>11</v>
          </cell>
          <cell r="C11">
            <v>3</v>
          </cell>
          <cell r="D11">
            <v>3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13</v>
          </cell>
          <cell r="K11">
            <v>14</v>
          </cell>
          <cell r="L11">
            <v>1</v>
          </cell>
          <cell r="M11">
            <v>0</v>
          </cell>
          <cell r="N11">
            <v>0</v>
          </cell>
        </row>
        <row r="12">
          <cell r="B12">
            <v>17</v>
          </cell>
          <cell r="C12">
            <v>2</v>
          </cell>
          <cell r="D12">
            <v>5</v>
          </cell>
          <cell r="E12">
            <v>0</v>
          </cell>
          <cell r="F12">
            <v>4</v>
          </cell>
          <cell r="G12">
            <v>20</v>
          </cell>
          <cell r="H12">
            <v>0</v>
          </cell>
          <cell r="I12">
            <v>6</v>
          </cell>
          <cell r="J12">
            <v>12</v>
          </cell>
          <cell r="K12">
            <v>6</v>
          </cell>
          <cell r="L12">
            <v>3</v>
          </cell>
          <cell r="M12">
            <v>0</v>
          </cell>
          <cell r="N12">
            <v>0</v>
          </cell>
        </row>
        <row r="13">
          <cell r="B13">
            <v>10</v>
          </cell>
          <cell r="C13">
            <v>3</v>
          </cell>
          <cell r="D13">
            <v>2</v>
          </cell>
          <cell r="E13">
            <v>0</v>
          </cell>
          <cell r="F13">
            <v>2</v>
          </cell>
          <cell r="G13">
            <v>36</v>
          </cell>
          <cell r="H13">
            <v>1</v>
          </cell>
          <cell r="I13">
            <v>1</v>
          </cell>
          <cell r="J13">
            <v>5</v>
          </cell>
          <cell r="K13">
            <v>4</v>
          </cell>
          <cell r="L13">
            <v>2</v>
          </cell>
          <cell r="M13">
            <v>0</v>
          </cell>
          <cell r="N13">
            <v>0</v>
          </cell>
        </row>
        <row r="14">
          <cell r="B14">
            <v>12</v>
          </cell>
          <cell r="C14">
            <v>2</v>
          </cell>
          <cell r="D14">
            <v>7</v>
          </cell>
          <cell r="E14">
            <v>0</v>
          </cell>
          <cell r="F14">
            <v>1</v>
          </cell>
          <cell r="G14">
            <v>22</v>
          </cell>
          <cell r="H14">
            <v>0</v>
          </cell>
          <cell r="I14">
            <v>2</v>
          </cell>
          <cell r="J14">
            <v>7</v>
          </cell>
          <cell r="K14">
            <v>6</v>
          </cell>
          <cell r="L14">
            <v>0</v>
          </cell>
          <cell r="M14">
            <v>0</v>
          </cell>
          <cell r="N14">
            <v>0</v>
          </cell>
        </row>
        <row r="15">
          <cell r="B15">
            <v>11</v>
          </cell>
          <cell r="C15">
            <v>8</v>
          </cell>
          <cell r="D15">
            <v>7</v>
          </cell>
          <cell r="E15">
            <v>0</v>
          </cell>
          <cell r="F15">
            <v>1</v>
          </cell>
          <cell r="G15">
            <v>12</v>
          </cell>
          <cell r="H15">
            <v>2</v>
          </cell>
          <cell r="I15">
            <v>13</v>
          </cell>
          <cell r="J15">
            <v>9</v>
          </cell>
          <cell r="K15">
            <v>6</v>
          </cell>
          <cell r="L15">
            <v>2</v>
          </cell>
          <cell r="M15">
            <v>0</v>
          </cell>
          <cell r="N15">
            <v>0</v>
          </cell>
        </row>
        <row r="16">
          <cell r="B16">
            <v>18</v>
          </cell>
          <cell r="C16">
            <v>6</v>
          </cell>
          <cell r="D16">
            <v>15</v>
          </cell>
          <cell r="E16">
            <v>0</v>
          </cell>
          <cell r="F16">
            <v>4</v>
          </cell>
          <cell r="G16">
            <v>3</v>
          </cell>
          <cell r="H16">
            <v>4</v>
          </cell>
          <cell r="I16">
            <v>11</v>
          </cell>
          <cell r="J16">
            <v>15</v>
          </cell>
          <cell r="K16">
            <v>26</v>
          </cell>
          <cell r="L16">
            <v>4</v>
          </cell>
          <cell r="M16">
            <v>2</v>
          </cell>
          <cell r="N16">
            <v>0</v>
          </cell>
        </row>
        <row r="17">
          <cell r="B17">
            <v>27</v>
          </cell>
          <cell r="C17">
            <v>1</v>
          </cell>
          <cell r="D17">
            <v>23</v>
          </cell>
          <cell r="E17">
            <v>0</v>
          </cell>
          <cell r="F17">
            <v>0</v>
          </cell>
          <cell r="G17">
            <v>6</v>
          </cell>
          <cell r="H17">
            <v>1</v>
          </cell>
          <cell r="I17">
            <v>5</v>
          </cell>
          <cell r="J17">
            <v>10</v>
          </cell>
          <cell r="K17">
            <v>12</v>
          </cell>
          <cell r="L17">
            <v>4</v>
          </cell>
          <cell r="M17">
            <v>3</v>
          </cell>
          <cell r="N17">
            <v>0</v>
          </cell>
        </row>
        <row r="18">
          <cell r="B18">
            <v>25</v>
          </cell>
          <cell r="C18">
            <v>4</v>
          </cell>
          <cell r="D18">
            <v>20</v>
          </cell>
          <cell r="E18">
            <v>0</v>
          </cell>
          <cell r="F18">
            <v>0</v>
          </cell>
          <cell r="G18">
            <v>7</v>
          </cell>
          <cell r="H18">
            <v>2</v>
          </cell>
          <cell r="I18">
            <v>2</v>
          </cell>
          <cell r="J18">
            <v>9</v>
          </cell>
          <cell r="K18">
            <v>18</v>
          </cell>
          <cell r="L18">
            <v>3</v>
          </cell>
          <cell r="M18">
            <v>0</v>
          </cell>
          <cell r="N18">
            <v>0</v>
          </cell>
        </row>
        <row r="19">
          <cell r="B19">
            <v>45</v>
          </cell>
          <cell r="C19">
            <v>5</v>
          </cell>
          <cell r="D19">
            <v>24</v>
          </cell>
          <cell r="E19">
            <v>0</v>
          </cell>
          <cell r="F19">
            <v>0</v>
          </cell>
          <cell r="G19">
            <v>6</v>
          </cell>
          <cell r="H19">
            <v>2</v>
          </cell>
          <cell r="I19">
            <v>1</v>
          </cell>
          <cell r="J19">
            <v>3</v>
          </cell>
          <cell r="K19">
            <v>14</v>
          </cell>
          <cell r="L19">
            <v>4</v>
          </cell>
          <cell r="M19">
            <v>3</v>
          </cell>
          <cell r="N19">
            <v>0</v>
          </cell>
        </row>
        <row r="20">
          <cell r="B20">
            <v>40</v>
          </cell>
          <cell r="C20">
            <v>7</v>
          </cell>
          <cell r="D20">
            <v>24</v>
          </cell>
          <cell r="E20">
            <v>0</v>
          </cell>
          <cell r="F20">
            <v>0</v>
          </cell>
          <cell r="G20">
            <v>9</v>
          </cell>
          <cell r="H20">
            <v>1</v>
          </cell>
          <cell r="I20">
            <v>1</v>
          </cell>
          <cell r="J20">
            <v>3</v>
          </cell>
          <cell r="K20">
            <v>16</v>
          </cell>
          <cell r="L20">
            <v>1</v>
          </cell>
          <cell r="M20">
            <v>0</v>
          </cell>
          <cell r="N20">
            <v>0</v>
          </cell>
        </row>
        <row r="21">
          <cell r="B21">
            <v>34</v>
          </cell>
          <cell r="C21">
            <v>2</v>
          </cell>
          <cell r="D21">
            <v>14</v>
          </cell>
          <cell r="E21">
            <v>0</v>
          </cell>
          <cell r="F21">
            <v>3</v>
          </cell>
          <cell r="G21">
            <v>12</v>
          </cell>
          <cell r="H21">
            <v>0</v>
          </cell>
          <cell r="I21">
            <v>1</v>
          </cell>
          <cell r="J21">
            <v>4</v>
          </cell>
          <cell r="K21">
            <v>8</v>
          </cell>
          <cell r="L21">
            <v>1</v>
          </cell>
          <cell r="M21">
            <v>1</v>
          </cell>
          <cell r="N21">
            <v>0</v>
          </cell>
        </row>
        <row r="22">
          <cell r="B22">
            <v>44</v>
          </cell>
          <cell r="C22">
            <v>6</v>
          </cell>
          <cell r="D22">
            <v>12</v>
          </cell>
          <cell r="E22">
            <v>0</v>
          </cell>
          <cell r="F22">
            <v>5</v>
          </cell>
          <cell r="G22">
            <v>10</v>
          </cell>
          <cell r="H22">
            <v>3</v>
          </cell>
          <cell r="I22">
            <v>2</v>
          </cell>
          <cell r="J22">
            <v>6</v>
          </cell>
          <cell r="K22">
            <v>7</v>
          </cell>
          <cell r="L22">
            <v>2</v>
          </cell>
          <cell r="M22">
            <v>2</v>
          </cell>
          <cell r="N22">
            <v>0</v>
          </cell>
        </row>
        <row r="23">
          <cell r="B23">
            <v>32</v>
          </cell>
          <cell r="C23">
            <v>2</v>
          </cell>
          <cell r="D23">
            <v>9</v>
          </cell>
          <cell r="E23">
            <v>0</v>
          </cell>
          <cell r="F23">
            <v>2</v>
          </cell>
          <cell r="G23">
            <v>11</v>
          </cell>
          <cell r="H23">
            <v>2</v>
          </cell>
          <cell r="I23">
            <v>0</v>
          </cell>
          <cell r="J23">
            <v>5</v>
          </cell>
          <cell r="K23">
            <v>5</v>
          </cell>
          <cell r="L23">
            <v>1</v>
          </cell>
          <cell r="M23">
            <v>0</v>
          </cell>
          <cell r="N23">
            <v>0</v>
          </cell>
        </row>
        <row r="24">
          <cell r="B24">
            <v>36</v>
          </cell>
          <cell r="C24">
            <v>3</v>
          </cell>
          <cell r="D24">
            <v>16</v>
          </cell>
          <cell r="E24">
            <v>0</v>
          </cell>
          <cell r="F24">
            <v>1</v>
          </cell>
          <cell r="G24">
            <v>15</v>
          </cell>
          <cell r="H24">
            <v>0</v>
          </cell>
          <cell r="I24">
            <v>3</v>
          </cell>
          <cell r="J24">
            <v>3</v>
          </cell>
          <cell r="K24">
            <v>7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54</v>
          </cell>
          <cell r="C25">
            <v>11</v>
          </cell>
          <cell r="D25">
            <v>15</v>
          </cell>
          <cell r="E25">
            <v>0</v>
          </cell>
          <cell r="F25">
            <v>2</v>
          </cell>
          <cell r="G25">
            <v>6</v>
          </cell>
          <cell r="H25">
            <v>3</v>
          </cell>
          <cell r="I25">
            <v>5</v>
          </cell>
          <cell r="J25">
            <v>3</v>
          </cell>
          <cell r="K25">
            <v>7</v>
          </cell>
          <cell r="L25">
            <v>3</v>
          </cell>
          <cell r="M25">
            <v>0</v>
          </cell>
          <cell r="N25">
            <v>0</v>
          </cell>
        </row>
        <row r="26">
          <cell r="B26">
            <v>43</v>
          </cell>
          <cell r="C26">
            <v>2</v>
          </cell>
          <cell r="D26">
            <v>13</v>
          </cell>
          <cell r="E26">
            <v>0</v>
          </cell>
          <cell r="F26">
            <v>0</v>
          </cell>
          <cell r="G26">
            <v>11</v>
          </cell>
          <cell r="H26">
            <v>0</v>
          </cell>
          <cell r="I26">
            <v>4</v>
          </cell>
          <cell r="J26">
            <v>9</v>
          </cell>
          <cell r="K26">
            <v>7</v>
          </cell>
          <cell r="L26">
            <v>2</v>
          </cell>
          <cell r="M26">
            <v>3</v>
          </cell>
          <cell r="N26">
            <v>0</v>
          </cell>
        </row>
        <row r="27">
          <cell r="B27">
            <v>61</v>
          </cell>
          <cell r="C27">
            <v>6</v>
          </cell>
          <cell r="D27">
            <v>10</v>
          </cell>
          <cell r="E27">
            <v>0</v>
          </cell>
          <cell r="F27">
            <v>2</v>
          </cell>
          <cell r="G27">
            <v>16</v>
          </cell>
          <cell r="H27">
            <v>0</v>
          </cell>
          <cell r="I27">
            <v>6</v>
          </cell>
          <cell r="J27">
            <v>11</v>
          </cell>
          <cell r="K27">
            <v>18</v>
          </cell>
          <cell r="L27">
            <v>0</v>
          </cell>
          <cell r="M27">
            <v>2</v>
          </cell>
          <cell r="N27">
            <v>0</v>
          </cell>
        </row>
        <row r="28">
          <cell r="B28">
            <v>45</v>
          </cell>
          <cell r="C28">
            <v>5</v>
          </cell>
          <cell r="D28">
            <v>13</v>
          </cell>
          <cell r="E28">
            <v>0</v>
          </cell>
          <cell r="F28">
            <v>2</v>
          </cell>
          <cell r="G28">
            <v>12</v>
          </cell>
          <cell r="H28">
            <v>0</v>
          </cell>
          <cell r="I28">
            <v>2</v>
          </cell>
          <cell r="J28">
            <v>1</v>
          </cell>
          <cell r="K28">
            <v>10</v>
          </cell>
          <cell r="L28">
            <v>1</v>
          </cell>
          <cell r="M28">
            <v>0</v>
          </cell>
          <cell r="N28">
            <v>0</v>
          </cell>
        </row>
        <row r="29">
          <cell r="B29">
            <v>63</v>
          </cell>
          <cell r="C29">
            <v>4</v>
          </cell>
          <cell r="D29">
            <v>15</v>
          </cell>
          <cell r="E29">
            <v>0</v>
          </cell>
          <cell r="F29">
            <v>0</v>
          </cell>
          <cell r="G29">
            <v>14</v>
          </cell>
          <cell r="H29">
            <v>1</v>
          </cell>
          <cell r="I29">
            <v>7</v>
          </cell>
          <cell r="J29">
            <v>5</v>
          </cell>
          <cell r="K29">
            <v>14</v>
          </cell>
          <cell r="L29">
            <v>2</v>
          </cell>
          <cell r="M29">
            <v>0</v>
          </cell>
          <cell r="N29">
            <v>0</v>
          </cell>
        </row>
        <row r="30">
          <cell r="B30">
            <v>55</v>
          </cell>
          <cell r="C30">
            <v>5</v>
          </cell>
          <cell r="D30">
            <v>12</v>
          </cell>
          <cell r="E30">
            <v>1</v>
          </cell>
          <cell r="F30">
            <v>1</v>
          </cell>
          <cell r="G30">
            <v>10</v>
          </cell>
          <cell r="H30">
            <v>2</v>
          </cell>
          <cell r="I30">
            <v>3</v>
          </cell>
          <cell r="J30">
            <v>3</v>
          </cell>
          <cell r="K30">
            <v>12</v>
          </cell>
          <cell r="L30">
            <v>3</v>
          </cell>
          <cell r="M30">
            <v>0</v>
          </cell>
          <cell r="N30">
            <v>0</v>
          </cell>
        </row>
        <row r="31">
          <cell r="B31">
            <v>32</v>
          </cell>
          <cell r="C31">
            <v>4</v>
          </cell>
          <cell r="D31">
            <v>17</v>
          </cell>
          <cell r="E31">
            <v>0</v>
          </cell>
          <cell r="F31">
            <v>0</v>
          </cell>
          <cell r="G31">
            <v>19</v>
          </cell>
          <cell r="H31">
            <v>1</v>
          </cell>
          <cell r="I31">
            <v>0</v>
          </cell>
          <cell r="J31">
            <v>6</v>
          </cell>
          <cell r="K31">
            <v>27</v>
          </cell>
          <cell r="L31">
            <v>3</v>
          </cell>
          <cell r="M31">
            <v>0</v>
          </cell>
          <cell r="N31">
            <v>0</v>
          </cell>
        </row>
        <row r="32">
          <cell r="B32">
            <v>30</v>
          </cell>
          <cell r="C32">
            <v>6</v>
          </cell>
          <cell r="D32">
            <v>10</v>
          </cell>
          <cell r="E32">
            <v>0</v>
          </cell>
          <cell r="F32">
            <v>0</v>
          </cell>
          <cell r="G32">
            <v>10</v>
          </cell>
          <cell r="H32">
            <v>1</v>
          </cell>
          <cell r="I32">
            <v>7</v>
          </cell>
          <cell r="J32">
            <v>17</v>
          </cell>
          <cell r="K32">
            <v>21</v>
          </cell>
          <cell r="L32">
            <v>7</v>
          </cell>
          <cell r="M32">
            <v>1</v>
          </cell>
          <cell r="N32">
            <v>0</v>
          </cell>
        </row>
        <row r="33">
          <cell r="B33">
            <v>12</v>
          </cell>
          <cell r="C33">
            <v>4</v>
          </cell>
          <cell r="D33">
            <v>5</v>
          </cell>
          <cell r="E33">
            <v>0</v>
          </cell>
          <cell r="F33">
            <v>1</v>
          </cell>
          <cell r="G33">
            <v>8</v>
          </cell>
          <cell r="H33">
            <v>1</v>
          </cell>
          <cell r="I33">
            <v>1</v>
          </cell>
          <cell r="J33">
            <v>5</v>
          </cell>
          <cell r="K33">
            <v>10</v>
          </cell>
          <cell r="L33">
            <v>2</v>
          </cell>
          <cell r="M33">
            <v>0</v>
          </cell>
          <cell r="N33">
            <v>0</v>
          </cell>
        </row>
        <row r="34">
          <cell r="B34">
            <v>24</v>
          </cell>
          <cell r="C34">
            <v>2</v>
          </cell>
          <cell r="D34">
            <v>4</v>
          </cell>
          <cell r="E34">
            <v>0</v>
          </cell>
          <cell r="F34">
            <v>1</v>
          </cell>
          <cell r="G34">
            <v>9</v>
          </cell>
          <cell r="H34">
            <v>0</v>
          </cell>
          <cell r="I34">
            <v>14</v>
          </cell>
          <cell r="J34">
            <v>17</v>
          </cell>
          <cell r="K34">
            <v>8</v>
          </cell>
          <cell r="L34">
            <v>1</v>
          </cell>
          <cell r="M34">
            <v>1</v>
          </cell>
          <cell r="N34">
            <v>0</v>
          </cell>
        </row>
      </sheetData>
      <sheetData sheetId="3"/>
      <sheetData sheetId="4">
        <row r="11">
          <cell r="B11">
            <v>19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 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21</v>
          </cell>
          <cell r="C11">
            <v>0</v>
          </cell>
          <cell r="D11">
            <v>2</v>
          </cell>
          <cell r="E11">
            <v>0</v>
          </cell>
          <cell r="F11">
            <v>1</v>
          </cell>
          <cell r="G11">
            <v>10</v>
          </cell>
          <cell r="H11">
            <v>1</v>
          </cell>
          <cell r="I11">
            <v>1</v>
          </cell>
          <cell r="J11">
            <v>6</v>
          </cell>
          <cell r="K11">
            <v>2</v>
          </cell>
          <cell r="L11">
            <v>0</v>
          </cell>
          <cell r="M11">
            <v>1</v>
          </cell>
          <cell r="N11">
            <v>0</v>
          </cell>
          <cell r="O11">
            <v>45</v>
          </cell>
        </row>
        <row r="12">
          <cell r="A12" t="str">
            <v>1 - 2</v>
          </cell>
          <cell r="B12">
            <v>4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28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39</v>
          </cell>
        </row>
        <row r="13">
          <cell r="A13" t="str">
            <v>2 - 3</v>
          </cell>
          <cell r="B13">
            <v>11</v>
          </cell>
          <cell r="C13">
            <v>1</v>
          </cell>
          <cell r="D13">
            <v>2</v>
          </cell>
          <cell r="E13">
            <v>0</v>
          </cell>
          <cell r="F13">
            <v>0</v>
          </cell>
          <cell r="G13">
            <v>31</v>
          </cell>
          <cell r="H13">
            <v>0</v>
          </cell>
          <cell r="I13">
            <v>0</v>
          </cell>
          <cell r="J13">
            <v>1</v>
          </cell>
          <cell r="K13">
            <v>5</v>
          </cell>
          <cell r="L13">
            <v>1</v>
          </cell>
          <cell r="M13">
            <v>0</v>
          </cell>
          <cell r="N13">
            <v>0</v>
          </cell>
          <cell r="O13">
            <v>52</v>
          </cell>
        </row>
        <row r="14">
          <cell r="A14" t="str">
            <v>3 - 4</v>
          </cell>
          <cell r="B14">
            <v>4</v>
          </cell>
          <cell r="C14">
            <v>3</v>
          </cell>
          <cell r="D14">
            <v>2</v>
          </cell>
          <cell r="E14">
            <v>0</v>
          </cell>
          <cell r="F14">
            <v>5</v>
          </cell>
          <cell r="G14">
            <v>22</v>
          </cell>
          <cell r="H14">
            <v>1</v>
          </cell>
          <cell r="I14">
            <v>5</v>
          </cell>
          <cell r="J14">
            <v>3</v>
          </cell>
          <cell r="K14">
            <v>5</v>
          </cell>
          <cell r="L14">
            <v>2</v>
          </cell>
          <cell r="M14">
            <v>0</v>
          </cell>
          <cell r="N14">
            <v>0</v>
          </cell>
          <cell r="O14">
            <v>52</v>
          </cell>
        </row>
        <row r="15">
          <cell r="A15" t="str">
            <v>4 - 5</v>
          </cell>
          <cell r="B15">
            <v>15</v>
          </cell>
          <cell r="C15">
            <v>0</v>
          </cell>
          <cell r="D15">
            <v>7</v>
          </cell>
          <cell r="E15">
            <v>0</v>
          </cell>
          <cell r="F15">
            <v>0</v>
          </cell>
          <cell r="G15">
            <v>16</v>
          </cell>
          <cell r="H15">
            <v>0</v>
          </cell>
          <cell r="I15">
            <v>2</v>
          </cell>
          <cell r="J15">
            <v>1</v>
          </cell>
          <cell r="K15">
            <v>11</v>
          </cell>
          <cell r="L15">
            <v>1</v>
          </cell>
          <cell r="M15">
            <v>0</v>
          </cell>
          <cell r="N15">
            <v>0</v>
          </cell>
          <cell r="O15">
            <v>53</v>
          </cell>
        </row>
        <row r="16">
          <cell r="A16" t="str">
            <v>5 - 6</v>
          </cell>
          <cell r="B16">
            <v>11</v>
          </cell>
          <cell r="C16">
            <v>3</v>
          </cell>
          <cell r="D16">
            <v>6</v>
          </cell>
          <cell r="E16">
            <v>0</v>
          </cell>
          <cell r="F16">
            <v>1</v>
          </cell>
          <cell r="G16">
            <v>12</v>
          </cell>
          <cell r="H16">
            <v>1</v>
          </cell>
          <cell r="I16">
            <v>11</v>
          </cell>
          <cell r="J16">
            <v>6</v>
          </cell>
          <cell r="K16">
            <v>7</v>
          </cell>
          <cell r="L16">
            <v>9</v>
          </cell>
          <cell r="M16">
            <v>1</v>
          </cell>
          <cell r="N16">
            <v>0</v>
          </cell>
          <cell r="O16">
            <v>68</v>
          </cell>
        </row>
        <row r="17">
          <cell r="A17" t="str">
            <v>6 - 7</v>
          </cell>
          <cell r="B17">
            <v>2</v>
          </cell>
          <cell r="C17">
            <v>7</v>
          </cell>
          <cell r="D17">
            <v>4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3</v>
          </cell>
          <cell r="K17">
            <v>3</v>
          </cell>
          <cell r="L17">
            <v>0</v>
          </cell>
          <cell r="M17">
            <v>1</v>
          </cell>
          <cell r="N17">
            <v>0</v>
          </cell>
          <cell r="O17">
            <v>21</v>
          </cell>
        </row>
        <row r="18">
          <cell r="A18" t="str">
            <v>7 - 8</v>
          </cell>
          <cell r="B18">
            <v>10</v>
          </cell>
          <cell r="C18">
            <v>1</v>
          </cell>
          <cell r="D18">
            <v>5</v>
          </cell>
          <cell r="E18">
            <v>1</v>
          </cell>
          <cell r="F18">
            <v>1</v>
          </cell>
          <cell r="G18">
            <v>4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29</v>
          </cell>
        </row>
        <row r="19">
          <cell r="A19" t="str">
            <v>8 - 9</v>
          </cell>
          <cell r="B19">
            <v>21</v>
          </cell>
          <cell r="C19">
            <v>3</v>
          </cell>
          <cell r="D19">
            <v>8</v>
          </cell>
          <cell r="E19">
            <v>0</v>
          </cell>
          <cell r="F19">
            <v>0</v>
          </cell>
          <cell r="G19">
            <v>6</v>
          </cell>
          <cell r="H19">
            <v>0</v>
          </cell>
          <cell r="I19">
            <v>2</v>
          </cell>
          <cell r="J19">
            <v>5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47</v>
          </cell>
        </row>
        <row r="20">
          <cell r="A20" t="str">
            <v>9 - 10</v>
          </cell>
          <cell r="B20">
            <v>18</v>
          </cell>
          <cell r="C20">
            <v>1</v>
          </cell>
          <cell r="D20">
            <v>7</v>
          </cell>
          <cell r="E20">
            <v>0</v>
          </cell>
          <cell r="F20">
            <v>0</v>
          </cell>
          <cell r="G20">
            <v>5</v>
          </cell>
          <cell r="H20">
            <v>0</v>
          </cell>
          <cell r="I20">
            <v>0</v>
          </cell>
          <cell r="J20">
            <v>5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40</v>
          </cell>
        </row>
        <row r="21">
          <cell r="A21" t="str">
            <v>10 - 11</v>
          </cell>
          <cell r="B21">
            <v>23</v>
          </cell>
          <cell r="C21">
            <v>3</v>
          </cell>
          <cell r="D21">
            <v>9</v>
          </cell>
          <cell r="E21">
            <v>1</v>
          </cell>
          <cell r="F21">
            <v>1</v>
          </cell>
          <cell r="G21">
            <v>7</v>
          </cell>
          <cell r="H21">
            <v>0</v>
          </cell>
          <cell r="I21">
            <v>2</v>
          </cell>
          <cell r="J21">
            <v>3</v>
          </cell>
          <cell r="K21">
            <v>2</v>
          </cell>
          <cell r="L21">
            <v>1</v>
          </cell>
          <cell r="M21">
            <v>0</v>
          </cell>
          <cell r="N21">
            <v>0</v>
          </cell>
          <cell r="O21">
            <v>52</v>
          </cell>
        </row>
        <row r="22">
          <cell r="A22" t="str">
            <v>11 - 12</v>
          </cell>
          <cell r="B22">
            <v>31</v>
          </cell>
          <cell r="C22">
            <v>7</v>
          </cell>
          <cell r="D22">
            <v>14</v>
          </cell>
          <cell r="E22">
            <v>1</v>
          </cell>
          <cell r="F22">
            <v>0</v>
          </cell>
          <cell r="G22">
            <v>12</v>
          </cell>
          <cell r="H22">
            <v>0</v>
          </cell>
          <cell r="I22">
            <v>1</v>
          </cell>
          <cell r="J22">
            <v>2</v>
          </cell>
          <cell r="K22">
            <v>5</v>
          </cell>
          <cell r="L22">
            <v>0</v>
          </cell>
          <cell r="M22">
            <v>2</v>
          </cell>
          <cell r="N22">
            <v>0</v>
          </cell>
          <cell r="O22">
            <v>75</v>
          </cell>
        </row>
        <row r="23">
          <cell r="A23" t="str">
            <v>12 - 13</v>
          </cell>
          <cell r="B23">
            <v>25</v>
          </cell>
          <cell r="C23">
            <v>0</v>
          </cell>
          <cell r="D23">
            <v>24</v>
          </cell>
          <cell r="E23">
            <v>0</v>
          </cell>
          <cell r="F23">
            <v>1</v>
          </cell>
          <cell r="G23">
            <v>9</v>
          </cell>
          <cell r="H23">
            <v>1</v>
          </cell>
          <cell r="I23">
            <v>2</v>
          </cell>
          <cell r="J23">
            <v>4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67</v>
          </cell>
        </row>
        <row r="24">
          <cell r="A24" t="str">
            <v>13 - 14</v>
          </cell>
          <cell r="B24">
            <v>16</v>
          </cell>
          <cell r="C24">
            <v>19</v>
          </cell>
          <cell r="D24">
            <v>15</v>
          </cell>
          <cell r="E24">
            <v>0</v>
          </cell>
          <cell r="F24">
            <v>7</v>
          </cell>
          <cell r="G24">
            <v>18</v>
          </cell>
          <cell r="H24">
            <v>3</v>
          </cell>
          <cell r="I24">
            <v>4</v>
          </cell>
          <cell r="J24">
            <v>8</v>
          </cell>
          <cell r="K24">
            <v>14</v>
          </cell>
          <cell r="L24">
            <v>1</v>
          </cell>
          <cell r="M24">
            <v>0</v>
          </cell>
          <cell r="N24">
            <v>0</v>
          </cell>
          <cell r="O24">
            <v>105</v>
          </cell>
        </row>
        <row r="25">
          <cell r="A25" t="str">
            <v>14 - 15</v>
          </cell>
          <cell r="B25">
            <v>28</v>
          </cell>
          <cell r="C25">
            <v>2</v>
          </cell>
          <cell r="D25">
            <v>19</v>
          </cell>
          <cell r="E25">
            <v>0</v>
          </cell>
          <cell r="F25">
            <v>0</v>
          </cell>
          <cell r="G25">
            <v>5</v>
          </cell>
          <cell r="H25">
            <v>5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0</v>
          </cell>
          <cell r="N25">
            <v>0</v>
          </cell>
          <cell r="O25">
            <v>68</v>
          </cell>
        </row>
        <row r="26">
          <cell r="A26" t="str">
            <v>15 - 16</v>
          </cell>
          <cell r="B26">
            <v>42</v>
          </cell>
          <cell r="C26">
            <v>6</v>
          </cell>
          <cell r="D26">
            <v>12</v>
          </cell>
          <cell r="E26">
            <v>0</v>
          </cell>
          <cell r="F26">
            <v>2</v>
          </cell>
          <cell r="G26">
            <v>16</v>
          </cell>
          <cell r="H26">
            <v>0</v>
          </cell>
          <cell r="I26">
            <v>4</v>
          </cell>
          <cell r="J26">
            <v>7</v>
          </cell>
          <cell r="K26">
            <v>8</v>
          </cell>
          <cell r="L26">
            <v>4</v>
          </cell>
          <cell r="M26">
            <v>1</v>
          </cell>
          <cell r="N26">
            <v>0</v>
          </cell>
          <cell r="O26">
            <v>102</v>
          </cell>
        </row>
        <row r="27">
          <cell r="A27" t="str">
            <v>16 - 17</v>
          </cell>
          <cell r="B27">
            <v>60</v>
          </cell>
          <cell r="C27">
            <v>5</v>
          </cell>
          <cell r="D27">
            <v>25</v>
          </cell>
          <cell r="E27">
            <v>0</v>
          </cell>
          <cell r="F27">
            <v>0</v>
          </cell>
          <cell r="G27">
            <v>18</v>
          </cell>
          <cell r="H27">
            <v>5</v>
          </cell>
          <cell r="I27">
            <v>9</v>
          </cell>
          <cell r="J27">
            <v>11</v>
          </cell>
          <cell r="K27">
            <v>8</v>
          </cell>
          <cell r="L27">
            <v>5</v>
          </cell>
          <cell r="M27">
            <v>1</v>
          </cell>
          <cell r="N27">
            <v>0</v>
          </cell>
          <cell r="O27">
            <v>147</v>
          </cell>
        </row>
        <row r="28">
          <cell r="A28" t="str">
            <v>17 - 18</v>
          </cell>
          <cell r="B28">
            <v>56</v>
          </cell>
          <cell r="C28">
            <v>6</v>
          </cell>
          <cell r="D28">
            <v>25</v>
          </cell>
          <cell r="E28">
            <v>0</v>
          </cell>
          <cell r="F28">
            <v>1</v>
          </cell>
          <cell r="G28">
            <v>18</v>
          </cell>
          <cell r="H28">
            <v>1</v>
          </cell>
          <cell r="I28">
            <v>10</v>
          </cell>
          <cell r="J28">
            <v>19</v>
          </cell>
          <cell r="K28">
            <v>16</v>
          </cell>
          <cell r="L28">
            <v>1</v>
          </cell>
          <cell r="M28">
            <v>3</v>
          </cell>
          <cell r="N28">
            <v>0</v>
          </cell>
          <cell r="O28">
            <v>156</v>
          </cell>
        </row>
        <row r="29">
          <cell r="A29" t="str">
            <v>18 - 19</v>
          </cell>
          <cell r="B29">
            <v>22</v>
          </cell>
          <cell r="C29">
            <v>6</v>
          </cell>
          <cell r="D29">
            <v>12</v>
          </cell>
          <cell r="E29">
            <v>0</v>
          </cell>
          <cell r="F29">
            <v>0</v>
          </cell>
          <cell r="G29">
            <v>12</v>
          </cell>
          <cell r="H29">
            <v>1</v>
          </cell>
          <cell r="I29">
            <v>5</v>
          </cell>
          <cell r="J29">
            <v>3</v>
          </cell>
          <cell r="K29">
            <v>11</v>
          </cell>
          <cell r="L29">
            <v>1</v>
          </cell>
          <cell r="M29">
            <v>1</v>
          </cell>
          <cell r="N29">
            <v>0</v>
          </cell>
          <cell r="O29">
            <v>74</v>
          </cell>
        </row>
        <row r="30">
          <cell r="A30" t="str">
            <v>19 - 20</v>
          </cell>
          <cell r="B30">
            <v>27</v>
          </cell>
          <cell r="C30">
            <v>4</v>
          </cell>
          <cell r="D30">
            <v>10</v>
          </cell>
          <cell r="E30">
            <v>0</v>
          </cell>
          <cell r="F30">
            <v>1</v>
          </cell>
          <cell r="G30">
            <v>12</v>
          </cell>
          <cell r="H30">
            <v>2</v>
          </cell>
          <cell r="I30">
            <v>7</v>
          </cell>
          <cell r="J30">
            <v>11</v>
          </cell>
          <cell r="K30">
            <v>4</v>
          </cell>
          <cell r="L30">
            <v>4</v>
          </cell>
          <cell r="M30">
            <v>1</v>
          </cell>
          <cell r="N30">
            <v>0</v>
          </cell>
          <cell r="O30">
            <v>83</v>
          </cell>
        </row>
        <row r="31">
          <cell r="A31" t="str">
            <v>20 - 21</v>
          </cell>
          <cell r="B31">
            <v>21</v>
          </cell>
          <cell r="C31">
            <v>6</v>
          </cell>
          <cell r="D31">
            <v>7</v>
          </cell>
          <cell r="E31">
            <v>0</v>
          </cell>
          <cell r="F31">
            <v>0</v>
          </cell>
          <cell r="G31">
            <v>9</v>
          </cell>
          <cell r="H31">
            <v>1</v>
          </cell>
          <cell r="I31">
            <v>7</v>
          </cell>
          <cell r="J31">
            <v>14</v>
          </cell>
          <cell r="K31">
            <v>14</v>
          </cell>
          <cell r="L31">
            <v>2</v>
          </cell>
          <cell r="M31">
            <v>0</v>
          </cell>
          <cell r="N31">
            <v>0</v>
          </cell>
          <cell r="O31">
            <v>81</v>
          </cell>
        </row>
        <row r="32">
          <cell r="A32" t="str">
            <v>21 - 22</v>
          </cell>
          <cell r="B32">
            <v>6</v>
          </cell>
          <cell r="C32">
            <v>0</v>
          </cell>
          <cell r="D32">
            <v>3</v>
          </cell>
          <cell r="E32">
            <v>0</v>
          </cell>
          <cell r="F32">
            <v>0</v>
          </cell>
          <cell r="G32">
            <v>12</v>
          </cell>
          <cell r="H32">
            <v>1</v>
          </cell>
          <cell r="I32">
            <v>7</v>
          </cell>
          <cell r="J32">
            <v>13</v>
          </cell>
          <cell r="K32">
            <v>8</v>
          </cell>
          <cell r="L32">
            <v>1</v>
          </cell>
          <cell r="M32">
            <v>0</v>
          </cell>
          <cell r="N32">
            <v>0</v>
          </cell>
          <cell r="O32">
            <v>51</v>
          </cell>
        </row>
        <row r="33">
          <cell r="A33" t="str">
            <v>22 - 23</v>
          </cell>
          <cell r="B33">
            <v>28</v>
          </cell>
          <cell r="C33">
            <v>4</v>
          </cell>
          <cell r="D33">
            <v>20</v>
          </cell>
          <cell r="E33">
            <v>1</v>
          </cell>
          <cell r="F33">
            <v>1</v>
          </cell>
          <cell r="G33">
            <v>21</v>
          </cell>
          <cell r="H33">
            <v>0</v>
          </cell>
          <cell r="I33">
            <v>11</v>
          </cell>
          <cell r="J33">
            <v>5</v>
          </cell>
          <cell r="K33">
            <v>20</v>
          </cell>
          <cell r="L33">
            <v>3</v>
          </cell>
          <cell r="M33">
            <v>0</v>
          </cell>
          <cell r="N33">
            <v>0</v>
          </cell>
          <cell r="O33">
            <v>114</v>
          </cell>
        </row>
        <row r="34">
          <cell r="A34" t="str">
            <v>23 - 24</v>
          </cell>
          <cell r="B34">
            <v>10</v>
          </cell>
          <cell r="C34">
            <v>2</v>
          </cell>
          <cell r="D34">
            <v>3</v>
          </cell>
          <cell r="E34">
            <v>0</v>
          </cell>
          <cell r="F34">
            <v>2</v>
          </cell>
          <cell r="G34">
            <v>3</v>
          </cell>
          <cell r="H34">
            <v>1</v>
          </cell>
          <cell r="I34">
            <v>2</v>
          </cell>
          <cell r="J34">
            <v>8</v>
          </cell>
          <cell r="K34">
            <v>8</v>
          </cell>
          <cell r="L34">
            <v>1</v>
          </cell>
          <cell r="M34">
            <v>0</v>
          </cell>
          <cell r="N34">
            <v>0</v>
          </cell>
          <cell r="O34">
            <v>40</v>
          </cell>
        </row>
        <row r="35">
          <cell r="B35">
            <v>512</v>
          </cell>
          <cell r="C35">
            <v>90</v>
          </cell>
          <cell r="D35">
            <v>242</v>
          </cell>
          <cell r="E35">
            <v>4</v>
          </cell>
          <cell r="F35">
            <v>24</v>
          </cell>
          <cell r="G35">
            <v>307</v>
          </cell>
          <cell r="H35">
            <v>25</v>
          </cell>
          <cell r="I35">
            <v>101</v>
          </cell>
          <cell r="J35">
            <v>144</v>
          </cell>
          <cell r="K35">
            <v>156</v>
          </cell>
          <cell r="L35">
            <v>43</v>
          </cell>
          <cell r="M35">
            <v>13</v>
          </cell>
          <cell r="N35">
            <v>0</v>
          </cell>
        </row>
      </sheetData>
      <sheetData sheetId="1"/>
      <sheetData sheetId="2">
        <row r="11">
          <cell r="B11">
            <v>22</v>
          </cell>
          <cell r="C11">
            <v>3</v>
          </cell>
          <cell r="D11">
            <v>3</v>
          </cell>
          <cell r="E11">
            <v>0</v>
          </cell>
          <cell r="F11">
            <v>5</v>
          </cell>
          <cell r="G11">
            <v>13</v>
          </cell>
          <cell r="H11">
            <v>0</v>
          </cell>
          <cell r="I11">
            <v>6</v>
          </cell>
          <cell r="J11">
            <v>6</v>
          </cell>
          <cell r="K11">
            <v>5</v>
          </cell>
          <cell r="L11">
            <v>4</v>
          </cell>
          <cell r="M11">
            <v>0</v>
          </cell>
          <cell r="N11">
            <v>0</v>
          </cell>
        </row>
        <row r="12">
          <cell r="B12">
            <v>15</v>
          </cell>
          <cell r="C12">
            <v>2</v>
          </cell>
          <cell r="D12">
            <v>6</v>
          </cell>
          <cell r="E12">
            <v>0</v>
          </cell>
          <cell r="F12">
            <v>3</v>
          </cell>
          <cell r="G12">
            <v>24</v>
          </cell>
          <cell r="H12">
            <v>0</v>
          </cell>
          <cell r="I12">
            <v>6</v>
          </cell>
          <cell r="J12">
            <v>9</v>
          </cell>
          <cell r="K12">
            <v>5</v>
          </cell>
          <cell r="L12">
            <v>2</v>
          </cell>
          <cell r="M12">
            <v>0</v>
          </cell>
          <cell r="N12">
            <v>0</v>
          </cell>
        </row>
        <row r="13">
          <cell r="B13">
            <v>12</v>
          </cell>
          <cell r="C13">
            <v>2</v>
          </cell>
          <cell r="D13">
            <v>6</v>
          </cell>
          <cell r="E13">
            <v>0</v>
          </cell>
          <cell r="F13">
            <v>0</v>
          </cell>
          <cell r="G13">
            <v>35</v>
          </cell>
          <cell r="H13">
            <v>1</v>
          </cell>
          <cell r="I13">
            <v>4</v>
          </cell>
          <cell r="J13">
            <v>4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13</v>
          </cell>
          <cell r="C14">
            <v>6</v>
          </cell>
          <cell r="D14">
            <v>3</v>
          </cell>
          <cell r="E14">
            <v>0</v>
          </cell>
          <cell r="F14">
            <v>41</v>
          </cell>
          <cell r="G14">
            <v>13</v>
          </cell>
          <cell r="H14">
            <v>1</v>
          </cell>
          <cell r="I14">
            <v>1</v>
          </cell>
          <cell r="J14">
            <v>14</v>
          </cell>
          <cell r="K14">
            <v>5</v>
          </cell>
          <cell r="L14">
            <v>3</v>
          </cell>
          <cell r="M14">
            <v>0</v>
          </cell>
          <cell r="N14">
            <v>0</v>
          </cell>
        </row>
        <row r="15">
          <cell r="B15">
            <v>15</v>
          </cell>
          <cell r="C15">
            <v>2</v>
          </cell>
          <cell r="D15">
            <v>11</v>
          </cell>
          <cell r="E15">
            <v>0</v>
          </cell>
          <cell r="F15">
            <v>2</v>
          </cell>
          <cell r="G15">
            <v>25</v>
          </cell>
          <cell r="H15">
            <v>1</v>
          </cell>
          <cell r="I15">
            <v>5</v>
          </cell>
          <cell r="J15">
            <v>11</v>
          </cell>
          <cell r="K15">
            <v>16</v>
          </cell>
          <cell r="L15">
            <v>0</v>
          </cell>
          <cell r="M15">
            <v>1</v>
          </cell>
          <cell r="N15">
            <v>0</v>
          </cell>
        </row>
        <row r="16">
          <cell r="B16">
            <v>22</v>
          </cell>
          <cell r="C16">
            <v>0</v>
          </cell>
          <cell r="D16">
            <v>12</v>
          </cell>
          <cell r="E16">
            <v>0</v>
          </cell>
          <cell r="F16">
            <v>5</v>
          </cell>
          <cell r="G16">
            <v>5</v>
          </cell>
          <cell r="H16">
            <v>6</v>
          </cell>
          <cell r="I16">
            <v>11</v>
          </cell>
          <cell r="J16">
            <v>5</v>
          </cell>
          <cell r="K16">
            <v>6</v>
          </cell>
          <cell r="L16">
            <v>16</v>
          </cell>
          <cell r="M16">
            <v>3</v>
          </cell>
          <cell r="N16">
            <v>0</v>
          </cell>
        </row>
        <row r="17">
          <cell r="B17">
            <v>25</v>
          </cell>
          <cell r="C17">
            <v>2</v>
          </cell>
          <cell r="D17">
            <v>9</v>
          </cell>
          <cell r="E17">
            <v>0</v>
          </cell>
          <cell r="F17">
            <v>0</v>
          </cell>
          <cell r="G17">
            <v>9</v>
          </cell>
          <cell r="H17">
            <v>1</v>
          </cell>
          <cell r="I17">
            <v>1</v>
          </cell>
          <cell r="J17">
            <v>4</v>
          </cell>
          <cell r="K17">
            <v>9</v>
          </cell>
          <cell r="L17">
            <v>1</v>
          </cell>
          <cell r="M17">
            <v>0</v>
          </cell>
          <cell r="N17">
            <v>0</v>
          </cell>
        </row>
        <row r="18">
          <cell r="B18">
            <v>22</v>
          </cell>
          <cell r="C18">
            <v>1</v>
          </cell>
          <cell r="D18">
            <v>14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4</v>
          </cell>
          <cell r="J18">
            <v>6</v>
          </cell>
          <cell r="K18">
            <v>13</v>
          </cell>
          <cell r="L18">
            <v>2</v>
          </cell>
          <cell r="M18">
            <v>0</v>
          </cell>
          <cell r="N18">
            <v>0</v>
          </cell>
        </row>
        <row r="19">
          <cell r="B19">
            <v>41</v>
          </cell>
          <cell r="C19">
            <v>7</v>
          </cell>
          <cell r="D19">
            <v>26</v>
          </cell>
          <cell r="E19">
            <v>0</v>
          </cell>
          <cell r="F19">
            <v>2</v>
          </cell>
          <cell r="G19">
            <v>7</v>
          </cell>
          <cell r="H19">
            <v>1</v>
          </cell>
          <cell r="I19">
            <v>7</v>
          </cell>
          <cell r="J19">
            <v>10</v>
          </cell>
          <cell r="K19">
            <v>12</v>
          </cell>
          <cell r="L19">
            <v>3</v>
          </cell>
          <cell r="M19">
            <v>2</v>
          </cell>
          <cell r="N19">
            <v>0</v>
          </cell>
        </row>
        <row r="20">
          <cell r="B20">
            <v>18</v>
          </cell>
          <cell r="C20">
            <v>5</v>
          </cell>
          <cell r="D20">
            <v>8</v>
          </cell>
          <cell r="E20">
            <v>0</v>
          </cell>
          <cell r="F20">
            <v>1</v>
          </cell>
          <cell r="G20">
            <v>4</v>
          </cell>
          <cell r="H20">
            <v>0</v>
          </cell>
          <cell r="I20">
            <v>2</v>
          </cell>
          <cell r="J20">
            <v>3</v>
          </cell>
          <cell r="K20">
            <v>5</v>
          </cell>
          <cell r="L20">
            <v>1</v>
          </cell>
          <cell r="M20">
            <v>1</v>
          </cell>
          <cell r="N20">
            <v>0</v>
          </cell>
        </row>
        <row r="21">
          <cell r="B21">
            <v>32</v>
          </cell>
          <cell r="C21">
            <v>4</v>
          </cell>
          <cell r="D21">
            <v>18</v>
          </cell>
          <cell r="E21">
            <v>1</v>
          </cell>
          <cell r="F21">
            <v>1</v>
          </cell>
          <cell r="G21">
            <v>12</v>
          </cell>
          <cell r="H21">
            <v>1</v>
          </cell>
          <cell r="I21">
            <v>6</v>
          </cell>
          <cell r="J21">
            <v>2</v>
          </cell>
          <cell r="K21">
            <v>15</v>
          </cell>
          <cell r="L21">
            <v>4</v>
          </cell>
          <cell r="M21">
            <v>0</v>
          </cell>
          <cell r="N21">
            <v>0</v>
          </cell>
        </row>
        <row r="22">
          <cell r="B22">
            <v>31</v>
          </cell>
          <cell r="C22">
            <v>4</v>
          </cell>
          <cell r="D22">
            <v>17</v>
          </cell>
          <cell r="E22">
            <v>0</v>
          </cell>
          <cell r="F22">
            <v>0</v>
          </cell>
          <cell r="G22">
            <v>13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2</v>
          </cell>
          <cell r="M22">
            <v>0</v>
          </cell>
          <cell r="N22">
            <v>0</v>
          </cell>
        </row>
        <row r="23">
          <cell r="B23">
            <v>36</v>
          </cell>
          <cell r="C23">
            <v>4</v>
          </cell>
          <cell r="D23">
            <v>13</v>
          </cell>
          <cell r="E23">
            <v>0</v>
          </cell>
          <cell r="F23">
            <v>2</v>
          </cell>
          <cell r="G23">
            <v>15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</row>
        <row r="24">
          <cell r="B24">
            <v>58</v>
          </cell>
          <cell r="C24">
            <v>7</v>
          </cell>
          <cell r="D24">
            <v>24</v>
          </cell>
          <cell r="E24">
            <v>1</v>
          </cell>
          <cell r="F24">
            <v>0</v>
          </cell>
          <cell r="G24">
            <v>21</v>
          </cell>
          <cell r="H24">
            <v>0</v>
          </cell>
          <cell r="I24">
            <v>9</v>
          </cell>
          <cell r="J24">
            <v>2</v>
          </cell>
          <cell r="K24">
            <v>7</v>
          </cell>
          <cell r="L24">
            <v>2</v>
          </cell>
          <cell r="M24">
            <v>0</v>
          </cell>
          <cell r="N24">
            <v>0</v>
          </cell>
        </row>
        <row r="25">
          <cell r="B25">
            <v>44</v>
          </cell>
          <cell r="C25">
            <v>5</v>
          </cell>
          <cell r="D25">
            <v>22</v>
          </cell>
          <cell r="E25">
            <v>0</v>
          </cell>
          <cell r="F25">
            <v>1</v>
          </cell>
          <cell r="G25">
            <v>6</v>
          </cell>
          <cell r="H25">
            <v>2</v>
          </cell>
          <cell r="I25">
            <v>2</v>
          </cell>
          <cell r="J25">
            <v>1</v>
          </cell>
          <cell r="K25">
            <v>9</v>
          </cell>
          <cell r="L25">
            <v>1</v>
          </cell>
          <cell r="M25">
            <v>0</v>
          </cell>
          <cell r="N25">
            <v>0</v>
          </cell>
        </row>
        <row r="26">
          <cell r="B26">
            <v>37</v>
          </cell>
          <cell r="C26">
            <v>5</v>
          </cell>
          <cell r="D26">
            <v>13</v>
          </cell>
          <cell r="E26">
            <v>0</v>
          </cell>
          <cell r="F26">
            <v>5</v>
          </cell>
          <cell r="G26">
            <v>15</v>
          </cell>
          <cell r="H26">
            <v>0</v>
          </cell>
          <cell r="I26">
            <v>14</v>
          </cell>
          <cell r="J26">
            <v>6</v>
          </cell>
          <cell r="K26">
            <v>5</v>
          </cell>
          <cell r="L26">
            <v>2</v>
          </cell>
          <cell r="M26">
            <v>0</v>
          </cell>
          <cell r="N26">
            <v>0</v>
          </cell>
        </row>
        <row r="27">
          <cell r="B27">
            <v>17</v>
          </cell>
          <cell r="C27">
            <v>2</v>
          </cell>
          <cell r="D27">
            <v>12</v>
          </cell>
          <cell r="E27">
            <v>0</v>
          </cell>
          <cell r="F27">
            <v>1</v>
          </cell>
          <cell r="G27">
            <v>7</v>
          </cell>
          <cell r="H27">
            <v>0</v>
          </cell>
          <cell r="I27">
            <v>0</v>
          </cell>
          <cell r="J27">
            <v>9</v>
          </cell>
          <cell r="K27">
            <v>4</v>
          </cell>
          <cell r="L27">
            <v>2</v>
          </cell>
          <cell r="M27">
            <v>0</v>
          </cell>
          <cell r="N27">
            <v>0</v>
          </cell>
        </row>
        <row r="28">
          <cell r="B28">
            <v>17</v>
          </cell>
          <cell r="C28">
            <v>1</v>
          </cell>
          <cell r="D28">
            <v>7</v>
          </cell>
          <cell r="E28">
            <v>0</v>
          </cell>
          <cell r="F28">
            <v>2</v>
          </cell>
          <cell r="G28">
            <v>13</v>
          </cell>
          <cell r="H28">
            <v>0</v>
          </cell>
          <cell r="I28">
            <v>11</v>
          </cell>
          <cell r="J28">
            <v>8</v>
          </cell>
          <cell r="K28">
            <v>7</v>
          </cell>
          <cell r="L28">
            <v>1</v>
          </cell>
          <cell r="M28">
            <v>0</v>
          </cell>
          <cell r="N28">
            <v>0</v>
          </cell>
        </row>
        <row r="29">
          <cell r="B29">
            <v>31</v>
          </cell>
          <cell r="C29">
            <v>3</v>
          </cell>
          <cell r="D29">
            <v>13</v>
          </cell>
          <cell r="E29">
            <v>0</v>
          </cell>
          <cell r="F29">
            <v>0</v>
          </cell>
          <cell r="G29">
            <v>8</v>
          </cell>
          <cell r="H29">
            <v>0</v>
          </cell>
          <cell r="I29">
            <v>6</v>
          </cell>
          <cell r="J29">
            <v>4</v>
          </cell>
          <cell r="K29">
            <v>6</v>
          </cell>
          <cell r="L29">
            <v>2</v>
          </cell>
          <cell r="M29">
            <v>1</v>
          </cell>
          <cell r="N29">
            <v>0</v>
          </cell>
        </row>
        <row r="30">
          <cell r="B30">
            <v>30</v>
          </cell>
          <cell r="C30">
            <v>4</v>
          </cell>
          <cell r="D30">
            <v>8</v>
          </cell>
          <cell r="E30">
            <v>0</v>
          </cell>
          <cell r="F30">
            <v>2</v>
          </cell>
          <cell r="G30">
            <v>5</v>
          </cell>
          <cell r="H30">
            <v>0</v>
          </cell>
          <cell r="I30">
            <v>2</v>
          </cell>
          <cell r="J30">
            <v>3</v>
          </cell>
          <cell r="K30">
            <v>8</v>
          </cell>
          <cell r="L30">
            <v>2</v>
          </cell>
          <cell r="M30">
            <v>0</v>
          </cell>
          <cell r="N30">
            <v>0</v>
          </cell>
        </row>
        <row r="31">
          <cell r="B31">
            <v>18</v>
          </cell>
          <cell r="C31">
            <v>5</v>
          </cell>
          <cell r="D31">
            <v>11</v>
          </cell>
          <cell r="E31">
            <v>0</v>
          </cell>
          <cell r="F31">
            <v>2</v>
          </cell>
          <cell r="G31">
            <v>4</v>
          </cell>
          <cell r="H31">
            <v>1</v>
          </cell>
          <cell r="I31">
            <v>3</v>
          </cell>
          <cell r="J31">
            <v>14</v>
          </cell>
          <cell r="K31">
            <v>5</v>
          </cell>
          <cell r="L31">
            <v>5</v>
          </cell>
          <cell r="M31">
            <v>0</v>
          </cell>
          <cell r="N31">
            <v>0</v>
          </cell>
        </row>
        <row r="32">
          <cell r="B32">
            <v>13</v>
          </cell>
          <cell r="C32">
            <v>4</v>
          </cell>
          <cell r="D32">
            <v>10</v>
          </cell>
          <cell r="E32">
            <v>0</v>
          </cell>
          <cell r="F32">
            <v>0</v>
          </cell>
          <cell r="G32">
            <v>5</v>
          </cell>
          <cell r="H32">
            <v>2</v>
          </cell>
          <cell r="I32">
            <v>3</v>
          </cell>
          <cell r="J32">
            <v>12</v>
          </cell>
          <cell r="K32">
            <v>16</v>
          </cell>
          <cell r="L32">
            <v>13</v>
          </cell>
          <cell r="M32">
            <v>0</v>
          </cell>
          <cell r="N32">
            <v>0</v>
          </cell>
        </row>
        <row r="33">
          <cell r="B33">
            <v>26</v>
          </cell>
          <cell r="C33">
            <v>1</v>
          </cell>
          <cell r="D33">
            <v>25</v>
          </cell>
          <cell r="E33">
            <v>0</v>
          </cell>
          <cell r="F33">
            <v>1</v>
          </cell>
          <cell r="G33">
            <v>11</v>
          </cell>
          <cell r="H33">
            <v>2</v>
          </cell>
          <cell r="I33">
            <v>10</v>
          </cell>
          <cell r="J33">
            <v>14</v>
          </cell>
          <cell r="K33">
            <v>5</v>
          </cell>
          <cell r="L33">
            <v>3</v>
          </cell>
          <cell r="M33">
            <v>0</v>
          </cell>
          <cell r="N33">
            <v>0</v>
          </cell>
        </row>
        <row r="34">
          <cell r="B34">
            <v>1</v>
          </cell>
          <cell r="C34">
            <v>0</v>
          </cell>
          <cell r="D34">
            <v>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1</v>
          </cell>
          <cell r="J34">
            <v>2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43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ONFITAL - CAIHUASI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8</v>
          </cell>
          <cell r="C11">
            <v>0</v>
          </cell>
          <cell r="D11">
            <v>4</v>
          </cell>
          <cell r="E11">
            <v>0</v>
          </cell>
          <cell r="F11">
            <v>2</v>
          </cell>
          <cell r="G11">
            <v>12</v>
          </cell>
          <cell r="H11">
            <v>0</v>
          </cell>
          <cell r="I11">
            <v>8</v>
          </cell>
          <cell r="J11">
            <v>9</v>
          </cell>
          <cell r="K11">
            <v>5</v>
          </cell>
          <cell r="L11">
            <v>1</v>
          </cell>
          <cell r="M11">
            <v>0</v>
          </cell>
          <cell r="N11">
            <v>0</v>
          </cell>
          <cell r="O11">
            <v>49</v>
          </cell>
        </row>
        <row r="12">
          <cell r="A12" t="str">
            <v>1 - 2</v>
          </cell>
          <cell r="B12">
            <v>7</v>
          </cell>
          <cell r="C12">
            <v>2</v>
          </cell>
          <cell r="D12">
            <v>1</v>
          </cell>
          <cell r="E12">
            <v>0</v>
          </cell>
          <cell r="F12">
            <v>1</v>
          </cell>
          <cell r="G12">
            <v>23</v>
          </cell>
          <cell r="H12">
            <v>0</v>
          </cell>
          <cell r="I12">
            <v>4</v>
          </cell>
          <cell r="J12">
            <v>4</v>
          </cell>
          <cell r="K12">
            <v>4</v>
          </cell>
          <cell r="L12">
            <v>1</v>
          </cell>
          <cell r="M12">
            <v>0</v>
          </cell>
          <cell r="N12">
            <v>0</v>
          </cell>
          <cell r="O12">
            <v>47</v>
          </cell>
        </row>
        <row r="13">
          <cell r="A13" t="str">
            <v>2 - 3</v>
          </cell>
          <cell r="B13">
            <v>2</v>
          </cell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33</v>
          </cell>
          <cell r="H13">
            <v>0</v>
          </cell>
          <cell r="I13">
            <v>4</v>
          </cell>
          <cell r="J13">
            <v>2</v>
          </cell>
          <cell r="K13">
            <v>3</v>
          </cell>
          <cell r="L13">
            <v>2</v>
          </cell>
          <cell r="M13">
            <v>0</v>
          </cell>
          <cell r="N13">
            <v>0</v>
          </cell>
          <cell r="O13">
            <v>48</v>
          </cell>
        </row>
        <row r="14">
          <cell r="A14" t="str">
            <v>3 - 4</v>
          </cell>
          <cell r="B14">
            <v>4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7</v>
          </cell>
          <cell r="H14">
            <v>0</v>
          </cell>
          <cell r="I14">
            <v>0</v>
          </cell>
          <cell r="J14">
            <v>6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22</v>
          </cell>
        </row>
        <row r="15">
          <cell r="A15" t="str">
            <v>4 - 5</v>
          </cell>
          <cell r="B15">
            <v>5</v>
          </cell>
          <cell r="C15">
            <v>0</v>
          </cell>
          <cell r="D15">
            <v>2</v>
          </cell>
          <cell r="E15">
            <v>0</v>
          </cell>
          <cell r="F15">
            <v>0</v>
          </cell>
          <cell r="G15">
            <v>5</v>
          </cell>
          <cell r="H15">
            <v>0</v>
          </cell>
          <cell r="I15">
            <v>1</v>
          </cell>
          <cell r="J15">
            <v>4</v>
          </cell>
          <cell r="K15">
            <v>4</v>
          </cell>
          <cell r="L15">
            <v>0</v>
          </cell>
          <cell r="M15">
            <v>0</v>
          </cell>
          <cell r="N15">
            <v>0</v>
          </cell>
          <cell r="O15">
            <v>21</v>
          </cell>
        </row>
        <row r="16">
          <cell r="A16" t="str">
            <v>5 - 6</v>
          </cell>
          <cell r="B16">
            <v>6</v>
          </cell>
          <cell r="C16">
            <v>1</v>
          </cell>
          <cell r="D16">
            <v>6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28</v>
          </cell>
        </row>
        <row r="17">
          <cell r="A17" t="str">
            <v>6 - 7</v>
          </cell>
          <cell r="B17">
            <v>8</v>
          </cell>
          <cell r="C17">
            <v>2</v>
          </cell>
          <cell r="D17">
            <v>9</v>
          </cell>
          <cell r="E17">
            <v>0</v>
          </cell>
          <cell r="F17">
            <v>1</v>
          </cell>
          <cell r="G17">
            <v>3</v>
          </cell>
          <cell r="H17">
            <v>0</v>
          </cell>
          <cell r="I17">
            <v>3</v>
          </cell>
          <cell r="J17">
            <v>3</v>
          </cell>
          <cell r="K17">
            <v>10</v>
          </cell>
          <cell r="L17">
            <v>1</v>
          </cell>
          <cell r="M17">
            <v>0</v>
          </cell>
          <cell r="N17">
            <v>0</v>
          </cell>
          <cell r="O17">
            <v>40</v>
          </cell>
        </row>
        <row r="18">
          <cell r="A18" t="str">
            <v>7 - 8</v>
          </cell>
          <cell r="B18">
            <v>14</v>
          </cell>
          <cell r="C18">
            <v>6</v>
          </cell>
          <cell r="D18">
            <v>8</v>
          </cell>
          <cell r="E18">
            <v>0</v>
          </cell>
          <cell r="F18">
            <v>3</v>
          </cell>
          <cell r="G18">
            <v>4</v>
          </cell>
          <cell r="H18">
            <v>0</v>
          </cell>
          <cell r="I18">
            <v>6</v>
          </cell>
          <cell r="J18">
            <v>3</v>
          </cell>
          <cell r="K18">
            <v>5</v>
          </cell>
          <cell r="L18">
            <v>0</v>
          </cell>
          <cell r="M18">
            <v>0</v>
          </cell>
          <cell r="N18">
            <v>0</v>
          </cell>
          <cell r="O18">
            <v>49</v>
          </cell>
        </row>
        <row r="19">
          <cell r="A19" t="str">
            <v>8 - 9</v>
          </cell>
          <cell r="B19">
            <v>10</v>
          </cell>
          <cell r="C19">
            <v>2</v>
          </cell>
          <cell r="D19">
            <v>3</v>
          </cell>
          <cell r="E19">
            <v>0</v>
          </cell>
          <cell r="F19">
            <v>3</v>
          </cell>
          <cell r="G19">
            <v>3</v>
          </cell>
          <cell r="H19">
            <v>1</v>
          </cell>
          <cell r="I19">
            <v>1</v>
          </cell>
          <cell r="J19">
            <v>3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27</v>
          </cell>
        </row>
        <row r="20">
          <cell r="A20" t="str">
            <v>9 - 10</v>
          </cell>
          <cell r="B20">
            <v>22</v>
          </cell>
          <cell r="C20">
            <v>5</v>
          </cell>
          <cell r="D20">
            <v>14</v>
          </cell>
          <cell r="E20">
            <v>0</v>
          </cell>
          <cell r="F20">
            <v>2</v>
          </cell>
          <cell r="G20">
            <v>6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2</v>
          </cell>
          <cell r="M20">
            <v>0</v>
          </cell>
          <cell r="N20">
            <v>0</v>
          </cell>
          <cell r="O20">
            <v>66</v>
          </cell>
        </row>
        <row r="21">
          <cell r="A21" t="str">
            <v>10 - 11</v>
          </cell>
          <cell r="B21">
            <v>11</v>
          </cell>
          <cell r="C21">
            <v>5</v>
          </cell>
          <cell r="D21">
            <v>17</v>
          </cell>
          <cell r="E21">
            <v>0</v>
          </cell>
          <cell r="F21">
            <v>1</v>
          </cell>
          <cell r="G21">
            <v>5</v>
          </cell>
          <cell r="H21">
            <v>2</v>
          </cell>
          <cell r="I21">
            <v>7</v>
          </cell>
          <cell r="J21">
            <v>2</v>
          </cell>
          <cell r="K21">
            <v>5</v>
          </cell>
          <cell r="L21">
            <v>3</v>
          </cell>
          <cell r="M21">
            <v>1</v>
          </cell>
          <cell r="N21">
            <v>0</v>
          </cell>
          <cell r="O21">
            <v>59</v>
          </cell>
        </row>
        <row r="22">
          <cell r="A22" t="str">
            <v>11 - 12</v>
          </cell>
          <cell r="B22">
            <v>17</v>
          </cell>
          <cell r="C22">
            <v>3</v>
          </cell>
          <cell r="D22">
            <v>15</v>
          </cell>
          <cell r="E22">
            <v>0</v>
          </cell>
          <cell r="F22">
            <v>1</v>
          </cell>
          <cell r="G22">
            <v>8</v>
          </cell>
          <cell r="H22">
            <v>0</v>
          </cell>
          <cell r="I22">
            <v>0</v>
          </cell>
          <cell r="J22">
            <v>3</v>
          </cell>
          <cell r="K22">
            <v>3</v>
          </cell>
          <cell r="L22">
            <v>0</v>
          </cell>
          <cell r="M22">
            <v>0</v>
          </cell>
          <cell r="N22">
            <v>0</v>
          </cell>
          <cell r="O22">
            <v>50</v>
          </cell>
        </row>
        <row r="23">
          <cell r="A23" t="str">
            <v>12 - 13</v>
          </cell>
          <cell r="B23">
            <v>28</v>
          </cell>
          <cell r="C23">
            <v>4</v>
          </cell>
          <cell r="D23">
            <v>15</v>
          </cell>
          <cell r="E23">
            <v>0</v>
          </cell>
          <cell r="F23">
            <v>4</v>
          </cell>
          <cell r="G23">
            <v>7</v>
          </cell>
          <cell r="H23">
            <v>0</v>
          </cell>
          <cell r="I23">
            <v>5</v>
          </cell>
          <cell r="J23">
            <v>4</v>
          </cell>
          <cell r="K23">
            <v>5</v>
          </cell>
          <cell r="L23">
            <v>1</v>
          </cell>
          <cell r="M23">
            <v>0</v>
          </cell>
          <cell r="N23">
            <v>0</v>
          </cell>
          <cell r="O23">
            <v>73</v>
          </cell>
        </row>
        <row r="24">
          <cell r="A24" t="str">
            <v>13 - 14</v>
          </cell>
          <cell r="B24">
            <v>33</v>
          </cell>
          <cell r="C24">
            <v>5</v>
          </cell>
          <cell r="D24">
            <v>22</v>
          </cell>
          <cell r="E24">
            <v>0</v>
          </cell>
          <cell r="F24">
            <v>2</v>
          </cell>
          <cell r="G24">
            <v>10</v>
          </cell>
          <cell r="H24">
            <v>0</v>
          </cell>
          <cell r="I24">
            <v>5</v>
          </cell>
          <cell r="J24">
            <v>8</v>
          </cell>
          <cell r="K24">
            <v>3</v>
          </cell>
          <cell r="L24">
            <v>1</v>
          </cell>
          <cell r="M24">
            <v>0</v>
          </cell>
          <cell r="N24">
            <v>0</v>
          </cell>
          <cell r="O24">
            <v>89</v>
          </cell>
        </row>
        <row r="25">
          <cell r="A25" t="str">
            <v>14 - 15</v>
          </cell>
          <cell r="B25">
            <v>28</v>
          </cell>
          <cell r="C25">
            <v>5</v>
          </cell>
          <cell r="D25">
            <v>18</v>
          </cell>
          <cell r="E25">
            <v>0</v>
          </cell>
          <cell r="F25">
            <v>7</v>
          </cell>
          <cell r="G25">
            <v>11</v>
          </cell>
          <cell r="H25">
            <v>0</v>
          </cell>
          <cell r="I25">
            <v>7</v>
          </cell>
          <cell r="J25">
            <v>8</v>
          </cell>
          <cell r="K25">
            <v>12</v>
          </cell>
          <cell r="L25">
            <v>4</v>
          </cell>
          <cell r="M25">
            <v>0</v>
          </cell>
          <cell r="N25">
            <v>0</v>
          </cell>
          <cell r="O25">
            <v>100</v>
          </cell>
        </row>
        <row r="26">
          <cell r="A26" t="str">
            <v>15 - 16</v>
          </cell>
          <cell r="B26">
            <v>10</v>
          </cell>
          <cell r="C26">
            <v>4</v>
          </cell>
          <cell r="D26">
            <v>9</v>
          </cell>
          <cell r="E26">
            <v>0</v>
          </cell>
          <cell r="F26">
            <v>3</v>
          </cell>
          <cell r="G26">
            <v>8</v>
          </cell>
          <cell r="H26">
            <v>0</v>
          </cell>
          <cell r="I26">
            <v>2</v>
          </cell>
          <cell r="J26">
            <v>9</v>
          </cell>
          <cell r="K26">
            <v>9</v>
          </cell>
          <cell r="L26">
            <v>0</v>
          </cell>
          <cell r="M26">
            <v>2</v>
          </cell>
          <cell r="N26">
            <v>0</v>
          </cell>
          <cell r="O26">
            <v>56</v>
          </cell>
        </row>
        <row r="27">
          <cell r="A27" t="str">
            <v>16 - 17</v>
          </cell>
          <cell r="B27">
            <v>30</v>
          </cell>
          <cell r="C27">
            <v>2</v>
          </cell>
          <cell r="D27">
            <v>17</v>
          </cell>
          <cell r="E27">
            <v>0</v>
          </cell>
          <cell r="F27">
            <v>0</v>
          </cell>
          <cell r="G27">
            <v>13</v>
          </cell>
          <cell r="H27">
            <v>3</v>
          </cell>
          <cell r="I27">
            <v>2</v>
          </cell>
          <cell r="J27">
            <v>18</v>
          </cell>
          <cell r="K27">
            <v>13</v>
          </cell>
          <cell r="L27">
            <v>6</v>
          </cell>
          <cell r="M27">
            <v>0</v>
          </cell>
          <cell r="N27">
            <v>0</v>
          </cell>
          <cell r="O27">
            <v>104</v>
          </cell>
        </row>
        <row r="28">
          <cell r="A28" t="str">
            <v>17 - 18</v>
          </cell>
          <cell r="B28">
            <v>22</v>
          </cell>
          <cell r="C28">
            <v>4</v>
          </cell>
          <cell r="D28">
            <v>19</v>
          </cell>
          <cell r="E28">
            <v>0</v>
          </cell>
          <cell r="F28">
            <v>2</v>
          </cell>
          <cell r="G28">
            <v>22</v>
          </cell>
          <cell r="H28">
            <v>6</v>
          </cell>
          <cell r="I28">
            <v>5</v>
          </cell>
          <cell r="J28">
            <v>7</v>
          </cell>
          <cell r="K28">
            <v>14</v>
          </cell>
          <cell r="L28">
            <v>3</v>
          </cell>
          <cell r="M28">
            <v>1</v>
          </cell>
          <cell r="N28">
            <v>0</v>
          </cell>
          <cell r="O28">
            <v>105</v>
          </cell>
        </row>
        <row r="29">
          <cell r="A29" t="str">
            <v>18 - 19</v>
          </cell>
          <cell r="B29">
            <v>21</v>
          </cell>
          <cell r="C29">
            <v>3</v>
          </cell>
          <cell r="D29">
            <v>26</v>
          </cell>
          <cell r="E29">
            <v>0</v>
          </cell>
          <cell r="F29">
            <v>1</v>
          </cell>
          <cell r="G29">
            <v>16</v>
          </cell>
          <cell r="H29">
            <v>4</v>
          </cell>
          <cell r="I29">
            <v>13</v>
          </cell>
          <cell r="J29">
            <v>15</v>
          </cell>
          <cell r="K29">
            <v>9</v>
          </cell>
          <cell r="L29">
            <v>3</v>
          </cell>
          <cell r="M29">
            <v>0</v>
          </cell>
          <cell r="N29">
            <v>0</v>
          </cell>
          <cell r="O29">
            <v>111</v>
          </cell>
        </row>
        <row r="30">
          <cell r="A30" t="str">
            <v>19 - 20</v>
          </cell>
          <cell r="B30">
            <v>26</v>
          </cell>
          <cell r="C30">
            <v>4</v>
          </cell>
          <cell r="D30">
            <v>9</v>
          </cell>
          <cell r="E30">
            <v>0</v>
          </cell>
          <cell r="F30">
            <v>1</v>
          </cell>
          <cell r="G30">
            <v>9</v>
          </cell>
          <cell r="H30">
            <v>1</v>
          </cell>
          <cell r="I30">
            <v>2</v>
          </cell>
          <cell r="J30">
            <v>23</v>
          </cell>
          <cell r="K30">
            <v>23</v>
          </cell>
          <cell r="L30">
            <v>1</v>
          </cell>
          <cell r="M30">
            <v>0</v>
          </cell>
          <cell r="N30">
            <v>0</v>
          </cell>
          <cell r="O30">
            <v>99</v>
          </cell>
        </row>
        <row r="31">
          <cell r="A31" t="str">
            <v>20 - 21</v>
          </cell>
          <cell r="B31">
            <v>18</v>
          </cell>
          <cell r="C31">
            <v>3</v>
          </cell>
          <cell r="D31">
            <v>10</v>
          </cell>
          <cell r="E31">
            <v>1</v>
          </cell>
          <cell r="F31">
            <v>0</v>
          </cell>
          <cell r="G31">
            <v>5</v>
          </cell>
          <cell r="H31">
            <v>1</v>
          </cell>
          <cell r="I31">
            <v>2</v>
          </cell>
          <cell r="J31">
            <v>14</v>
          </cell>
          <cell r="K31">
            <v>7</v>
          </cell>
          <cell r="L31">
            <v>2</v>
          </cell>
          <cell r="M31">
            <v>0</v>
          </cell>
          <cell r="N31">
            <v>0</v>
          </cell>
          <cell r="O31">
            <v>63</v>
          </cell>
        </row>
        <row r="32">
          <cell r="A32" t="str">
            <v>21 - 22</v>
          </cell>
          <cell r="B32">
            <v>15</v>
          </cell>
          <cell r="C32">
            <v>0</v>
          </cell>
          <cell r="D32">
            <v>3</v>
          </cell>
          <cell r="E32">
            <v>0</v>
          </cell>
          <cell r="F32">
            <v>0</v>
          </cell>
          <cell r="G32">
            <v>13</v>
          </cell>
          <cell r="H32">
            <v>1</v>
          </cell>
          <cell r="I32">
            <v>10</v>
          </cell>
          <cell r="J32">
            <v>10</v>
          </cell>
          <cell r="K32">
            <v>17</v>
          </cell>
          <cell r="L32">
            <v>3</v>
          </cell>
          <cell r="M32">
            <v>0</v>
          </cell>
          <cell r="N32">
            <v>0</v>
          </cell>
          <cell r="O32">
            <v>72</v>
          </cell>
        </row>
        <row r="33">
          <cell r="A33" t="str">
            <v>22 - 23</v>
          </cell>
          <cell r="B33">
            <v>8</v>
          </cell>
          <cell r="C33">
            <v>2</v>
          </cell>
          <cell r="D33">
            <v>6</v>
          </cell>
          <cell r="E33">
            <v>0</v>
          </cell>
          <cell r="F33">
            <v>1</v>
          </cell>
          <cell r="G33">
            <v>11</v>
          </cell>
          <cell r="H33">
            <v>1</v>
          </cell>
          <cell r="I33">
            <v>11</v>
          </cell>
          <cell r="J33">
            <v>19</v>
          </cell>
          <cell r="K33">
            <v>17</v>
          </cell>
          <cell r="L33">
            <v>2</v>
          </cell>
          <cell r="M33">
            <v>0</v>
          </cell>
          <cell r="N33">
            <v>0</v>
          </cell>
          <cell r="O33">
            <v>78</v>
          </cell>
        </row>
        <row r="34">
          <cell r="A34" t="str">
            <v>23 - 24</v>
          </cell>
          <cell r="B34">
            <v>16</v>
          </cell>
          <cell r="C34">
            <v>2</v>
          </cell>
          <cell r="D34">
            <v>5</v>
          </cell>
          <cell r="E34">
            <v>0</v>
          </cell>
          <cell r="F34">
            <v>9</v>
          </cell>
          <cell r="G34">
            <v>18</v>
          </cell>
          <cell r="H34">
            <v>1</v>
          </cell>
          <cell r="I34">
            <v>9</v>
          </cell>
          <cell r="J34">
            <v>12</v>
          </cell>
          <cell r="K34">
            <v>19</v>
          </cell>
          <cell r="L34">
            <v>2</v>
          </cell>
          <cell r="M34">
            <v>0</v>
          </cell>
          <cell r="N34">
            <v>0</v>
          </cell>
          <cell r="O34">
            <v>93</v>
          </cell>
        </row>
        <row r="35">
          <cell r="B35">
            <v>369</v>
          </cell>
          <cell r="C35">
            <v>64</v>
          </cell>
          <cell r="D35">
            <v>240</v>
          </cell>
          <cell r="E35">
            <v>1</v>
          </cell>
          <cell r="F35">
            <v>44</v>
          </cell>
          <cell r="G35">
            <v>254</v>
          </cell>
          <cell r="H35">
            <v>22</v>
          </cell>
          <cell r="I35">
            <v>113</v>
          </cell>
          <cell r="J35">
            <v>194</v>
          </cell>
          <cell r="K35">
            <v>203</v>
          </cell>
          <cell r="L35">
            <v>41</v>
          </cell>
          <cell r="M35">
            <v>4</v>
          </cell>
          <cell r="N35">
            <v>0</v>
          </cell>
        </row>
      </sheetData>
      <sheetData sheetId="1"/>
      <sheetData sheetId="2">
        <row r="11">
          <cell r="B11">
            <v>7</v>
          </cell>
          <cell r="C11">
            <v>0</v>
          </cell>
          <cell r="D11">
            <v>2</v>
          </cell>
          <cell r="E11">
            <v>0</v>
          </cell>
          <cell r="F11">
            <v>3</v>
          </cell>
          <cell r="G11">
            <v>12</v>
          </cell>
          <cell r="H11">
            <v>1</v>
          </cell>
          <cell r="I11">
            <v>5</v>
          </cell>
          <cell r="J11">
            <v>17</v>
          </cell>
          <cell r="K11">
            <v>9</v>
          </cell>
          <cell r="L11">
            <v>4</v>
          </cell>
          <cell r="M11">
            <v>0</v>
          </cell>
          <cell r="N11">
            <v>0</v>
          </cell>
        </row>
        <row r="12">
          <cell r="B12">
            <v>4</v>
          </cell>
          <cell r="C12">
            <v>2</v>
          </cell>
          <cell r="D12">
            <v>3</v>
          </cell>
          <cell r="E12">
            <v>0</v>
          </cell>
          <cell r="F12">
            <v>6</v>
          </cell>
          <cell r="G12">
            <v>18</v>
          </cell>
          <cell r="H12">
            <v>1</v>
          </cell>
          <cell r="I12">
            <v>4</v>
          </cell>
          <cell r="J12">
            <v>11</v>
          </cell>
          <cell r="K12">
            <v>11</v>
          </cell>
          <cell r="L12">
            <v>1</v>
          </cell>
          <cell r="M12">
            <v>0</v>
          </cell>
          <cell r="N12">
            <v>0</v>
          </cell>
        </row>
        <row r="13">
          <cell r="B13">
            <v>18</v>
          </cell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39</v>
          </cell>
          <cell r="H13">
            <v>1</v>
          </cell>
          <cell r="I13">
            <v>9</v>
          </cell>
          <cell r="J13">
            <v>13</v>
          </cell>
          <cell r="K13">
            <v>6</v>
          </cell>
          <cell r="L13">
            <v>3</v>
          </cell>
          <cell r="M13">
            <v>0</v>
          </cell>
          <cell r="N13">
            <v>0</v>
          </cell>
        </row>
        <row r="14">
          <cell r="B14">
            <v>13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10</v>
          </cell>
          <cell r="H14">
            <v>0</v>
          </cell>
          <cell r="I14">
            <v>1</v>
          </cell>
          <cell r="J14">
            <v>7</v>
          </cell>
          <cell r="K14">
            <v>8</v>
          </cell>
          <cell r="L14">
            <v>0</v>
          </cell>
          <cell r="M14">
            <v>0</v>
          </cell>
          <cell r="N14">
            <v>0</v>
          </cell>
        </row>
        <row r="15">
          <cell r="B15">
            <v>7</v>
          </cell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11</v>
          </cell>
          <cell r="H15">
            <v>0</v>
          </cell>
          <cell r="I15">
            <v>1</v>
          </cell>
          <cell r="J15">
            <v>8</v>
          </cell>
          <cell r="K15">
            <v>10</v>
          </cell>
          <cell r="L15">
            <v>0</v>
          </cell>
          <cell r="M15">
            <v>0</v>
          </cell>
          <cell r="N15">
            <v>0</v>
          </cell>
        </row>
        <row r="16">
          <cell r="B16">
            <v>12</v>
          </cell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4</v>
          </cell>
          <cell r="H16">
            <v>0</v>
          </cell>
          <cell r="I16">
            <v>8</v>
          </cell>
          <cell r="J16">
            <v>6</v>
          </cell>
          <cell r="K16">
            <v>6</v>
          </cell>
          <cell r="L16">
            <v>1</v>
          </cell>
          <cell r="M16">
            <v>0</v>
          </cell>
          <cell r="N16">
            <v>0</v>
          </cell>
        </row>
        <row r="17">
          <cell r="B17">
            <v>19</v>
          </cell>
          <cell r="C17">
            <v>1</v>
          </cell>
          <cell r="D17">
            <v>17</v>
          </cell>
          <cell r="E17">
            <v>0</v>
          </cell>
          <cell r="F17">
            <v>1</v>
          </cell>
          <cell r="G17">
            <v>7</v>
          </cell>
          <cell r="H17">
            <v>0</v>
          </cell>
          <cell r="I17">
            <v>3</v>
          </cell>
          <cell r="J17">
            <v>10</v>
          </cell>
          <cell r="K17">
            <v>12</v>
          </cell>
          <cell r="L17">
            <v>4</v>
          </cell>
          <cell r="M17">
            <v>0</v>
          </cell>
          <cell r="N17">
            <v>0</v>
          </cell>
        </row>
        <row r="18">
          <cell r="B18">
            <v>18</v>
          </cell>
          <cell r="C18">
            <v>3</v>
          </cell>
          <cell r="D18">
            <v>22</v>
          </cell>
          <cell r="E18">
            <v>0</v>
          </cell>
          <cell r="F18">
            <v>0</v>
          </cell>
          <cell r="G18">
            <v>5</v>
          </cell>
          <cell r="H18">
            <v>1</v>
          </cell>
          <cell r="I18">
            <v>5</v>
          </cell>
          <cell r="J18">
            <v>6</v>
          </cell>
          <cell r="K18">
            <v>13</v>
          </cell>
          <cell r="L18">
            <v>0</v>
          </cell>
          <cell r="M18">
            <v>0</v>
          </cell>
          <cell r="N18">
            <v>0</v>
          </cell>
        </row>
        <row r="19">
          <cell r="B19">
            <v>21</v>
          </cell>
          <cell r="C19">
            <v>7</v>
          </cell>
          <cell r="D19">
            <v>20</v>
          </cell>
          <cell r="E19">
            <v>0</v>
          </cell>
          <cell r="F19">
            <v>0</v>
          </cell>
          <cell r="G19">
            <v>8</v>
          </cell>
          <cell r="H19">
            <v>1</v>
          </cell>
          <cell r="I19">
            <v>4</v>
          </cell>
          <cell r="J19">
            <v>3</v>
          </cell>
          <cell r="K19">
            <v>6</v>
          </cell>
          <cell r="L19">
            <v>2</v>
          </cell>
          <cell r="M19">
            <v>1</v>
          </cell>
          <cell r="N19">
            <v>0</v>
          </cell>
        </row>
        <row r="20">
          <cell r="B20">
            <v>33</v>
          </cell>
          <cell r="C20">
            <v>7</v>
          </cell>
          <cell r="D20">
            <v>24</v>
          </cell>
          <cell r="E20">
            <v>0</v>
          </cell>
          <cell r="F20">
            <v>0</v>
          </cell>
          <cell r="G20">
            <v>11</v>
          </cell>
          <cell r="H20">
            <v>1</v>
          </cell>
          <cell r="I20">
            <v>0</v>
          </cell>
          <cell r="J20">
            <v>4</v>
          </cell>
          <cell r="K20">
            <v>11</v>
          </cell>
          <cell r="L20">
            <v>0</v>
          </cell>
          <cell r="M20">
            <v>2</v>
          </cell>
          <cell r="N20">
            <v>0</v>
          </cell>
        </row>
        <row r="21">
          <cell r="B21">
            <v>21</v>
          </cell>
          <cell r="C21">
            <v>5</v>
          </cell>
          <cell r="D21">
            <v>17</v>
          </cell>
          <cell r="E21">
            <v>0</v>
          </cell>
          <cell r="F21">
            <v>0</v>
          </cell>
          <cell r="G21">
            <v>8</v>
          </cell>
          <cell r="H21">
            <v>0</v>
          </cell>
          <cell r="I21">
            <v>1</v>
          </cell>
          <cell r="J21">
            <v>3</v>
          </cell>
          <cell r="K21">
            <v>5</v>
          </cell>
          <cell r="L21">
            <v>1</v>
          </cell>
          <cell r="M21">
            <v>0</v>
          </cell>
          <cell r="N21">
            <v>0</v>
          </cell>
        </row>
        <row r="22">
          <cell r="B22">
            <v>19</v>
          </cell>
          <cell r="C22">
            <v>7</v>
          </cell>
          <cell r="D22">
            <v>15</v>
          </cell>
          <cell r="E22">
            <v>0</v>
          </cell>
          <cell r="F22">
            <v>4</v>
          </cell>
          <cell r="G22">
            <v>9</v>
          </cell>
          <cell r="H22">
            <v>2</v>
          </cell>
          <cell r="I22">
            <v>3</v>
          </cell>
          <cell r="J22">
            <v>3</v>
          </cell>
          <cell r="K22">
            <v>9</v>
          </cell>
          <cell r="L22">
            <v>1</v>
          </cell>
          <cell r="M22">
            <v>1</v>
          </cell>
          <cell r="N22">
            <v>0</v>
          </cell>
        </row>
        <row r="23">
          <cell r="B23">
            <v>29</v>
          </cell>
          <cell r="C23">
            <v>6</v>
          </cell>
          <cell r="D23">
            <v>19</v>
          </cell>
          <cell r="E23">
            <v>0</v>
          </cell>
          <cell r="F23">
            <v>3</v>
          </cell>
          <cell r="G23">
            <v>13</v>
          </cell>
          <cell r="H23">
            <v>2</v>
          </cell>
          <cell r="I23">
            <v>0</v>
          </cell>
          <cell r="J23">
            <v>1</v>
          </cell>
          <cell r="K23">
            <v>9</v>
          </cell>
          <cell r="L23">
            <v>2</v>
          </cell>
          <cell r="M23">
            <v>1</v>
          </cell>
          <cell r="N23">
            <v>0</v>
          </cell>
        </row>
        <row r="24">
          <cell r="B24">
            <v>18</v>
          </cell>
          <cell r="C24">
            <v>7</v>
          </cell>
          <cell r="D24">
            <v>10</v>
          </cell>
          <cell r="E24">
            <v>0</v>
          </cell>
          <cell r="F24">
            <v>1</v>
          </cell>
          <cell r="G24">
            <v>11</v>
          </cell>
          <cell r="H24">
            <v>0</v>
          </cell>
          <cell r="I24">
            <v>4</v>
          </cell>
          <cell r="J24">
            <v>1</v>
          </cell>
          <cell r="K24">
            <v>7</v>
          </cell>
          <cell r="L24">
            <v>1</v>
          </cell>
          <cell r="M24">
            <v>1</v>
          </cell>
          <cell r="N24">
            <v>0</v>
          </cell>
        </row>
        <row r="25">
          <cell r="B25">
            <v>36</v>
          </cell>
          <cell r="C25">
            <v>2</v>
          </cell>
          <cell r="D25">
            <v>12</v>
          </cell>
          <cell r="E25">
            <v>0</v>
          </cell>
          <cell r="F25">
            <v>0</v>
          </cell>
          <cell r="G25">
            <v>9</v>
          </cell>
          <cell r="H25">
            <v>1</v>
          </cell>
          <cell r="I25">
            <v>10</v>
          </cell>
          <cell r="J25">
            <v>4</v>
          </cell>
          <cell r="K25">
            <v>11</v>
          </cell>
          <cell r="L25">
            <v>0</v>
          </cell>
          <cell r="M25">
            <v>0</v>
          </cell>
          <cell r="N25">
            <v>0</v>
          </cell>
        </row>
        <row r="26">
          <cell r="B26">
            <v>17</v>
          </cell>
          <cell r="C26">
            <v>3</v>
          </cell>
          <cell r="D26">
            <v>10</v>
          </cell>
          <cell r="E26">
            <v>0</v>
          </cell>
          <cell r="F26">
            <v>1</v>
          </cell>
          <cell r="G26">
            <v>12</v>
          </cell>
          <cell r="H26">
            <v>1</v>
          </cell>
          <cell r="I26">
            <v>8</v>
          </cell>
          <cell r="J26">
            <v>0</v>
          </cell>
          <cell r="K26">
            <v>9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14</v>
          </cell>
          <cell r="C27">
            <v>8</v>
          </cell>
          <cell r="D27">
            <v>7</v>
          </cell>
          <cell r="E27">
            <v>0</v>
          </cell>
          <cell r="F27">
            <v>0</v>
          </cell>
          <cell r="G27">
            <v>9</v>
          </cell>
          <cell r="H27">
            <v>1</v>
          </cell>
          <cell r="I27">
            <v>5</v>
          </cell>
          <cell r="J27">
            <v>20</v>
          </cell>
          <cell r="K27">
            <v>6</v>
          </cell>
          <cell r="L27">
            <v>1</v>
          </cell>
          <cell r="M27">
            <v>0</v>
          </cell>
          <cell r="N27">
            <v>0</v>
          </cell>
        </row>
        <row r="28">
          <cell r="B28">
            <v>10</v>
          </cell>
          <cell r="C28">
            <v>2</v>
          </cell>
          <cell r="D28">
            <v>14</v>
          </cell>
          <cell r="E28">
            <v>0</v>
          </cell>
          <cell r="F28">
            <v>1</v>
          </cell>
          <cell r="G28">
            <v>15</v>
          </cell>
          <cell r="H28">
            <v>2</v>
          </cell>
          <cell r="I28">
            <v>6</v>
          </cell>
          <cell r="J28">
            <v>9</v>
          </cell>
          <cell r="K28">
            <v>16</v>
          </cell>
          <cell r="L28">
            <v>4</v>
          </cell>
          <cell r="M28">
            <v>0</v>
          </cell>
          <cell r="N28">
            <v>0</v>
          </cell>
        </row>
        <row r="29">
          <cell r="B29">
            <v>23</v>
          </cell>
          <cell r="C29">
            <v>3</v>
          </cell>
          <cell r="D29">
            <v>26</v>
          </cell>
          <cell r="E29">
            <v>0</v>
          </cell>
          <cell r="F29">
            <v>0</v>
          </cell>
          <cell r="G29">
            <v>18</v>
          </cell>
          <cell r="H29">
            <v>0</v>
          </cell>
          <cell r="I29">
            <v>18</v>
          </cell>
          <cell r="J29">
            <v>18</v>
          </cell>
          <cell r="K29">
            <v>11</v>
          </cell>
          <cell r="L29">
            <v>3</v>
          </cell>
          <cell r="M29">
            <v>1</v>
          </cell>
          <cell r="N29">
            <v>0</v>
          </cell>
        </row>
        <row r="30">
          <cell r="B30">
            <v>15</v>
          </cell>
          <cell r="C30">
            <v>3</v>
          </cell>
          <cell r="D30">
            <v>15</v>
          </cell>
          <cell r="E30">
            <v>0</v>
          </cell>
          <cell r="F30">
            <v>1</v>
          </cell>
          <cell r="G30">
            <v>8</v>
          </cell>
          <cell r="H30">
            <v>0</v>
          </cell>
          <cell r="I30">
            <v>4</v>
          </cell>
          <cell r="J30">
            <v>3</v>
          </cell>
          <cell r="K30">
            <v>4</v>
          </cell>
          <cell r="L30">
            <v>11</v>
          </cell>
          <cell r="M30">
            <v>1</v>
          </cell>
          <cell r="N30">
            <v>0</v>
          </cell>
        </row>
        <row r="31">
          <cell r="B31">
            <v>15</v>
          </cell>
          <cell r="C31">
            <v>2</v>
          </cell>
          <cell r="D31">
            <v>5</v>
          </cell>
          <cell r="E31">
            <v>0</v>
          </cell>
          <cell r="F31">
            <v>0</v>
          </cell>
          <cell r="G31">
            <v>3</v>
          </cell>
          <cell r="H31">
            <v>0</v>
          </cell>
          <cell r="I31">
            <v>9</v>
          </cell>
          <cell r="J31">
            <v>7</v>
          </cell>
          <cell r="K31">
            <v>6</v>
          </cell>
          <cell r="L31">
            <v>7</v>
          </cell>
          <cell r="M31">
            <v>0</v>
          </cell>
          <cell r="N31">
            <v>0</v>
          </cell>
        </row>
        <row r="32">
          <cell r="B32">
            <v>15</v>
          </cell>
          <cell r="C32">
            <v>1</v>
          </cell>
          <cell r="D32">
            <v>3</v>
          </cell>
          <cell r="E32">
            <v>0</v>
          </cell>
          <cell r="F32">
            <v>0</v>
          </cell>
          <cell r="G32">
            <v>6</v>
          </cell>
          <cell r="H32">
            <v>0</v>
          </cell>
          <cell r="I32">
            <v>9</v>
          </cell>
          <cell r="J32">
            <v>6</v>
          </cell>
          <cell r="K32">
            <v>10</v>
          </cell>
          <cell r="L32">
            <v>2</v>
          </cell>
          <cell r="M32">
            <v>0</v>
          </cell>
          <cell r="N32">
            <v>0</v>
          </cell>
        </row>
        <row r="33">
          <cell r="B33">
            <v>11</v>
          </cell>
          <cell r="C33">
            <v>3</v>
          </cell>
          <cell r="D33">
            <v>3</v>
          </cell>
          <cell r="E33">
            <v>0</v>
          </cell>
          <cell r="F33">
            <v>0</v>
          </cell>
          <cell r="G33">
            <v>10</v>
          </cell>
          <cell r="H33">
            <v>0</v>
          </cell>
          <cell r="I33">
            <v>5</v>
          </cell>
          <cell r="J33">
            <v>7</v>
          </cell>
          <cell r="K33">
            <v>12</v>
          </cell>
          <cell r="L33">
            <v>3</v>
          </cell>
          <cell r="M33">
            <v>0</v>
          </cell>
          <cell r="N33">
            <v>0</v>
          </cell>
        </row>
        <row r="34">
          <cell r="B34">
            <v>15</v>
          </cell>
          <cell r="C34">
            <v>2</v>
          </cell>
          <cell r="D34">
            <v>6</v>
          </cell>
          <cell r="E34">
            <v>1</v>
          </cell>
          <cell r="F34">
            <v>2</v>
          </cell>
          <cell r="G34">
            <v>17</v>
          </cell>
          <cell r="H34">
            <v>0</v>
          </cell>
          <cell r="I34">
            <v>6</v>
          </cell>
          <cell r="J34">
            <v>9</v>
          </cell>
          <cell r="K34">
            <v>23</v>
          </cell>
          <cell r="L34">
            <v>2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15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CAIHUASI - CONFITAL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7</v>
          </cell>
          <cell r="C11">
            <v>2</v>
          </cell>
          <cell r="D11">
            <v>2</v>
          </cell>
          <cell r="E11">
            <v>0</v>
          </cell>
          <cell r="F11">
            <v>2</v>
          </cell>
          <cell r="G11">
            <v>34</v>
          </cell>
          <cell r="H11">
            <v>1</v>
          </cell>
          <cell r="I11">
            <v>7</v>
          </cell>
          <cell r="J11">
            <v>4</v>
          </cell>
          <cell r="K11">
            <v>11</v>
          </cell>
          <cell r="L11">
            <v>7</v>
          </cell>
          <cell r="M11">
            <v>0</v>
          </cell>
          <cell r="N11">
            <v>0</v>
          </cell>
          <cell r="O11">
            <v>77</v>
          </cell>
        </row>
        <row r="12">
          <cell r="A12" t="str">
            <v>1 - 2</v>
          </cell>
          <cell r="B12">
            <v>7</v>
          </cell>
          <cell r="C12">
            <v>2</v>
          </cell>
          <cell r="D12">
            <v>6</v>
          </cell>
          <cell r="E12">
            <v>0</v>
          </cell>
          <cell r="F12">
            <v>2</v>
          </cell>
          <cell r="G12">
            <v>27</v>
          </cell>
          <cell r="H12">
            <v>3</v>
          </cell>
          <cell r="I12">
            <v>12</v>
          </cell>
          <cell r="J12">
            <v>11</v>
          </cell>
          <cell r="K12">
            <v>18</v>
          </cell>
          <cell r="L12">
            <v>2</v>
          </cell>
          <cell r="M12">
            <v>0</v>
          </cell>
          <cell r="N12">
            <v>0</v>
          </cell>
          <cell r="O12">
            <v>90</v>
          </cell>
        </row>
        <row r="13">
          <cell r="A13" t="str">
            <v>2 - 3</v>
          </cell>
          <cell r="B13">
            <v>9</v>
          </cell>
          <cell r="C13">
            <v>1</v>
          </cell>
          <cell r="D13">
            <v>3</v>
          </cell>
          <cell r="E13">
            <v>0</v>
          </cell>
          <cell r="F13">
            <v>2</v>
          </cell>
          <cell r="G13">
            <v>16</v>
          </cell>
          <cell r="H13">
            <v>1</v>
          </cell>
          <cell r="I13">
            <v>3</v>
          </cell>
          <cell r="J13">
            <v>4</v>
          </cell>
          <cell r="K13">
            <v>3</v>
          </cell>
          <cell r="L13">
            <v>2</v>
          </cell>
          <cell r="M13">
            <v>0</v>
          </cell>
          <cell r="N13">
            <v>0</v>
          </cell>
          <cell r="O13">
            <v>44</v>
          </cell>
        </row>
        <row r="14">
          <cell r="A14" t="str">
            <v>3 - 4</v>
          </cell>
          <cell r="B14">
            <v>17</v>
          </cell>
          <cell r="C14">
            <v>1</v>
          </cell>
          <cell r="D14">
            <v>5</v>
          </cell>
          <cell r="E14">
            <v>0</v>
          </cell>
          <cell r="F14">
            <v>1</v>
          </cell>
          <cell r="G14">
            <v>23</v>
          </cell>
          <cell r="H14">
            <v>0</v>
          </cell>
          <cell r="I14">
            <v>5</v>
          </cell>
          <cell r="J14">
            <v>8</v>
          </cell>
          <cell r="K14">
            <v>3</v>
          </cell>
          <cell r="L14">
            <v>3</v>
          </cell>
          <cell r="M14">
            <v>0</v>
          </cell>
          <cell r="N14">
            <v>0</v>
          </cell>
          <cell r="O14">
            <v>66</v>
          </cell>
        </row>
        <row r="15">
          <cell r="A15" t="str">
            <v>4 - 5</v>
          </cell>
          <cell r="B15">
            <v>1</v>
          </cell>
          <cell r="C15">
            <v>1</v>
          </cell>
          <cell r="D15">
            <v>2</v>
          </cell>
          <cell r="E15">
            <v>0</v>
          </cell>
          <cell r="F15">
            <v>0</v>
          </cell>
          <cell r="G15">
            <v>3</v>
          </cell>
          <cell r="H15">
            <v>1</v>
          </cell>
          <cell r="I15">
            <v>5</v>
          </cell>
          <cell r="J15">
            <v>6</v>
          </cell>
          <cell r="K15">
            <v>4</v>
          </cell>
          <cell r="L15">
            <v>3</v>
          </cell>
          <cell r="M15">
            <v>0</v>
          </cell>
          <cell r="N15">
            <v>0</v>
          </cell>
          <cell r="O15">
            <v>26</v>
          </cell>
        </row>
        <row r="16">
          <cell r="A16" t="str">
            <v>5 - 6</v>
          </cell>
          <cell r="B16">
            <v>13</v>
          </cell>
          <cell r="C16">
            <v>0</v>
          </cell>
          <cell r="D16">
            <v>4</v>
          </cell>
          <cell r="E16">
            <v>0</v>
          </cell>
          <cell r="F16">
            <v>3</v>
          </cell>
          <cell r="G16">
            <v>8</v>
          </cell>
          <cell r="H16">
            <v>1</v>
          </cell>
          <cell r="I16">
            <v>6</v>
          </cell>
          <cell r="J16">
            <v>5</v>
          </cell>
          <cell r="K16">
            <v>5</v>
          </cell>
          <cell r="L16">
            <v>1</v>
          </cell>
          <cell r="M16">
            <v>0</v>
          </cell>
          <cell r="N16">
            <v>0</v>
          </cell>
          <cell r="O16">
            <v>46</v>
          </cell>
        </row>
        <row r="17">
          <cell r="A17" t="str">
            <v>6 - 7</v>
          </cell>
          <cell r="B17">
            <v>11</v>
          </cell>
          <cell r="C17">
            <v>4</v>
          </cell>
          <cell r="D17">
            <v>7</v>
          </cell>
          <cell r="E17">
            <v>0</v>
          </cell>
          <cell r="F17">
            <v>1</v>
          </cell>
          <cell r="G17">
            <v>4</v>
          </cell>
          <cell r="H17">
            <v>1</v>
          </cell>
          <cell r="I17">
            <v>2</v>
          </cell>
          <cell r="J17">
            <v>1</v>
          </cell>
          <cell r="K17">
            <v>14</v>
          </cell>
          <cell r="L17">
            <v>1</v>
          </cell>
          <cell r="M17">
            <v>0</v>
          </cell>
          <cell r="N17">
            <v>0</v>
          </cell>
          <cell r="O17">
            <v>46</v>
          </cell>
        </row>
        <row r="18">
          <cell r="A18" t="str">
            <v>7 - 8</v>
          </cell>
          <cell r="B18">
            <v>13</v>
          </cell>
          <cell r="C18">
            <v>2</v>
          </cell>
          <cell r="D18">
            <v>7</v>
          </cell>
          <cell r="E18">
            <v>0</v>
          </cell>
          <cell r="F18">
            <v>2</v>
          </cell>
          <cell r="G18">
            <v>3</v>
          </cell>
          <cell r="H18">
            <v>4</v>
          </cell>
          <cell r="I18">
            <v>3</v>
          </cell>
          <cell r="J18">
            <v>4</v>
          </cell>
          <cell r="K18">
            <v>7</v>
          </cell>
          <cell r="L18">
            <v>0</v>
          </cell>
          <cell r="M18">
            <v>1</v>
          </cell>
          <cell r="N18">
            <v>0</v>
          </cell>
          <cell r="O18">
            <v>46</v>
          </cell>
        </row>
        <row r="19">
          <cell r="A19" t="str">
            <v>8 - 9</v>
          </cell>
          <cell r="B19">
            <v>12</v>
          </cell>
          <cell r="C19">
            <v>7</v>
          </cell>
          <cell r="D19">
            <v>8</v>
          </cell>
          <cell r="E19">
            <v>0</v>
          </cell>
          <cell r="F19">
            <v>1</v>
          </cell>
          <cell r="G19">
            <v>6</v>
          </cell>
          <cell r="H19">
            <v>0</v>
          </cell>
          <cell r="I19">
            <v>5</v>
          </cell>
          <cell r="J19">
            <v>6</v>
          </cell>
          <cell r="K19">
            <v>16</v>
          </cell>
          <cell r="L19">
            <v>0</v>
          </cell>
          <cell r="M19">
            <v>3</v>
          </cell>
          <cell r="N19">
            <v>0</v>
          </cell>
          <cell r="O19">
            <v>64</v>
          </cell>
        </row>
        <row r="20">
          <cell r="A20" t="str">
            <v>9 - 10</v>
          </cell>
          <cell r="B20">
            <v>10</v>
          </cell>
          <cell r="C20">
            <v>4</v>
          </cell>
          <cell r="D20">
            <v>4</v>
          </cell>
          <cell r="E20">
            <v>0</v>
          </cell>
          <cell r="F20">
            <v>2</v>
          </cell>
          <cell r="G20">
            <v>16</v>
          </cell>
          <cell r="H20">
            <v>4</v>
          </cell>
          <cell r="I20">
            <v>5</v>
          </cell>
          <cell r="J20">
            <v>13</v>
          </cell>
          <cell r="K20">
            <v>8</v>
          </cell>
          <cell r="L20">
            <v>2</v>
          </cell>
          <cell r="M20">
            <v>0</v>
          </cell>
          <cell r="N20">
            <v>0</v>
          </cell>
          <cell r="O20">
            <v>68</v>
          </cell>
        </row>
        <row r="21">
          <cell r="A21" t="str">
            <v>10 - 11</v>
          </cell>
          <cell r="B21">
            <v>22</v>
          </cell>
          <cell r="C21">
            <v>6</v>
          </cell>
          <cell r="D21">
            <v>11</v>
          </cell>
          <cell r="E21">
            <v>0</v>
          </cell>
          <cell r="F21">
            <v>6</v>
          </cell>
          <cell r="G21">
            <v>13</v>
          </cell>
          <cell r="H21">
            <v>0</v>
          </cell>
          <cell r="I21">
            <v>7</v>
          </cell>
          <cell r="J21">
            <v>16</v>
          </cell>
          <cell r="K21">
            <v>17</v>
          </cell>
          <cell r="L21">
            <v>8</v>
          </cell>
          <cell r="M21">
            <v>0</v>
          </cell>
          <cell r="N21">
            <v>0</v>
          </cell>
          <cell r="O21">
            <v>106</v>
          </cell>
        </row>
        <row r="22">
          <cell r="A22" t="str">
            <v>11 - 12</v>
          </cell>
          <cell r="B22">
            <v>17</v>
          </cell>
          <cell r="C22">
            <v>5</v>
          </cell>
          <cell r="D22">
            <v>15</v>
          </cell>
          <cell r="E22">
            <v>0</v>
          </cell>
          <cell r="F22">
            <v>0</v>
          </cell>
          <cell r="G22">
            <v>10</v>
          </cell>
          <cell r="H22">
            <v>1</v>
          </cell>
          <cell r="I22">
            <v>7</v>
          </cell>
          <cell r="J22">
            <v>4</v>
          </cell>
          <cell r="K22">
            <v>13</v>
          </cell>
          <cell r="L22">
            <v>0</v>
          </cell>
          <cell r="M22">
            <v>2</v>
          </cell>
          <cell r="N22">
            <v>0</v>
          </cell>
          <cell r="O22">
            <v>74</v>
          </cell>
        </row>
        <row r="23">
          <cell r="A23" t="str">
            <v>12 - 13</v>
          </cell>
          <cell r="B23">
            <v>19</v>
          </cell>
          <cell r="C23">
            <v>1</v>
          </cell>
          <cell r="D23">
            <v>11</v>
          </cell>
          <cell r="E23">
            <v>0</v>
          </cell>
          <cell r="F23">
            <v>2</v>
          </cell>
          <cell r="G23">
            <v>11</v>
          </cell>
          <cell r="H23">
            <v>0</v>
          </cell>
          <cell r="I23">
            <v>3</v>
          </cell>
          <cell r="J23">
            <v>6</v>
          </cell>
          <cell r="K23">
            <v>9</v>
          </cell>
          <cell r="L23">
            <v>15</v>
          </cell>
          <cell r="M23">
            <v>0</v>
          </cell>
          <cell r="N23">
            <v>0</v>
          </cell>
          <cell r="O23">
            <v>77</v>
          </cell>
        </row>
        <row r="24">
          <cell r="A24" t="str">
            <v>13 - 14</v>
          </cell>
          <cell r="B24">
            <v>22</v>
          </cell>
          <cell r="C24">
            <v>4</v>
          </cell>
          <cell r="D24">
            <v>11</v>
          </cell>
          <cell r="E24">
            <v>0</v>
          </cell>
          <cell r="F24">
            <v>2</v>
          </cell>
          <cell r="G24">
            <v>11</v>
          </cell>
          <cell r="H24">
            <v>2</v>
          </cell>
          <cell r="I24">
            <v>6</v>
          </cell>
          <cell r="J24">
            <v>4</v>
          </cell>
          <cell r="K24">
            <v>22</v>
          </cell>
          <cell r="L24">
            <v>9</v>
          </cell>
          <cell r="M24">
            <v>2</v>
          </cell>
          <cell r="N24">
            <v>0</v>
          </cell>
          <cell r="O24">
            <v>95</v>
          </cell>
        </row>
        <row r="25">
          <cell r="A25" t="str">
            <v>14 - 15</v>
          </cell>
          <cell r="B25">
            <v>35</v>
          </cell>
          <cell r="C25">
            <v>7</v>
          </cell>
          <cell r="D25">
            <v>23</v>
          </cell>
          <cell r="E25">
            <v>0</v>
          </cell>
          <cell r="F25">
            <v>4</v>
          </cell>
          <cell r="G25">
            <v>17</v>
          </cell>
          <cell r="H25">
            <v>4</v>
          </cell>
          <cell r="I25">
            <v>6</v>
          </cell>
          <cell r="J25">
            <v>8</v>
          </cell>
          <cell r="K25">
            <v>8</v>
          </cell>
          <cell r="L25">
            <v>13</v>
          </cell>
          <cell r="M25">
            <v>2</v>
          </cell>
          <cell r="N25">
            <v>0</v>
          </cell>
          <cell r="O25">
            <v>127</v>
          </cell>
        </row>
        <row r="26">
          <cell r="A26" t="str">
            <v>15 - 16</v>
          </cell>
          <cell r="B26">
            <v>25</v>
          </cell>
          <cell r="C26">
            <v>3</v>
          </cell>
          <cell r="D26">
            <v>21</v>
          </cell>
          <cell r="E26">
            <v>1</v>
          </cell>
          <cell r="F26">
            <v>2</v>
          </cell>
          <cell r="G26">
            <v>12</v>
          </cell>
          <cell r="H26">
            <v>2</v>
          </cell>
          <cell r="I26">
            <v>11</v>
          </cell>
          <cell r="J26">
            <v>17</v>
          </cell>
          <cell r="K26">
            <v>11</v>
          </cell>
          <cell r="L26">
            <v>6</v>
          </cell>
          <cell r="M26">
            <v>0</v>
          </cell>
          <cell r="N26">
            <v>0</v>
          </cell>
          <cell r="O26">
            <v>111</v>
          </cell>
        </row>
        <row r="27">
          <cell r="A27" t="str">
            <v>16 - 17</v>
          </cell>
          <cell r="B27">
            <v>19</v>
          </cell>
          <cell r="C27">
            <v>3</v>
          </cell>
          <cell r="D27">
            <v>19</v>
          </cell>
          <cell r="E27">
            <v>0</v>
          </cell>
          <cell r="F27">
            <v>2</v>
          </cell>
          <cell r="G27">
            <v>25</v>
          </cell>
          <cell r="H27">
            <v>2</v>
          </cell>
          <cell r="I27">
            <v>13</v>
          </cell>
          <cell r="J27">
            <v>10</v>
          </cell>
          <cell r="K27">
            <v>19</v>
          </cell>
          <cell r="L27">
            <v>3</v>
          </cell>
          <cell r="M27">
            <v>0</v>
          </cell>
          <cell r="N27">
            <v>0</v>
          </cell>
          <cell r="O27">
            <v>115</v>
          </cell>
        </row>
        <row r="28">
          <cell r="A28" t="str">
            <v>17 - 18</v>
          </cell>
          <cell r="B28">
            <v>29</v>
          </cell>
          <cell r="C28">
            <v>0</v>
          </cell>
          <cell r="D28">
            <v>22</v>
          </cell>
          <cell r="E28">
            <v>0</v>
          </cell>
          <cell r="F28">
            <v>0</v>
          </cell>
          <cell r="G28">
            <v>11</v>
          </cell>
          <cell r="H28">
            <v>1</v>
          </cell>
          <cell r="I28">
            <v>9</v>
          </cell>
          <cell r="J28">
            <v>8</v>
          </cell>
          <cell r="K28">
            <v>7</v>
          </cell>
          <cell r="L28">
            <v>2</v>
          </cell>
          <cell r="M28">
            <v>0</v>
          </cell>
          <cell r="N28">
            <v>0</v>
          </cell>
          <cell r="O28">
            <v>89</v>
          </cell>
        </row>
        <row r="29">
          <cell r="A29" t="str">
            <v>18 - 19</v>
          </cell>
          <cell r="B29">
            <v>21</v>
          </cell>
          <cell r="C29">
            <v>4</v>
          </cell>
          <cell r="D29">
            <v>8</v>
          </cell>
          <cell r="E29">
            <v>0</v>
          </cell>
          <cell r="F29">
            <v>0</v>
          </cell>
          <cell r="G29">
            <v>6</v>
          </cell>
          <cell r="H29">
            <v>2</v>
          </cell>
          <cell r="I29">
            <v>5</v>
          </cell>
          <cell r="J29">
            <v>12</v>
          </cell>
          <cell r="K29">
            <v>25</v>
          </cell>
          <cell r="L29">
            <v>2</v>
          </cell>
          <cell r="M29">
            <v>0</v>
          </cell>
          <cell r="N29">
            <v>0</v>
          </cell>
          <cell r="O29">
            <v>85</v>
          </cell>
        </row>
        <row r="30">
          <cell r="A30" t="str">
            <v>19 - 20</v>
          </cell>
          <cell r="B30">
            <v>14</v>
          </cell>
          <cell r="C30">
            <v>7</v>
          </cell>
          <cell r="D30">
            <v>8</v>
          </cell>
          <cell r="E30">
            <v>0</v>
          </cell>
          <cell r="F30">
            <v>1</v>
          </cell>
          <cell r="G30">
            <v>5</v>
          </cell>
          <cell r="H30">
            <v>0</v>
          </cell>
          <cell r="I30">
            <v>5</v>
          </cell>
          <cell r="J30">
            <v>6</v>
          </cell>
          <cell r="K30">
            <v>18</v>
          </cell>
          <cell r="L30">
            <v>6</v>
          </cell>
          <cell r="M30">
            <v>0</v>
          </cell>
          <cell r="N30">
            <v>0</v>
          </cell>
          <cell r="O30">
            <v>70</v>
          </cell>
        </row>
        <row r="31">
          <cell r="A31" t="str">
            <v>20 - 21</v>
          </cell>
          <cell r="B31">
            <v>23</v>
          </cell>
          <cell r="C31">
            <v>7</v>
          </cell>
          <cell r="D31">
            <v>18</v>
          </cell>
          <cell r="E31">
            <v>0</v>
          </cell>
          <cell r="F31">
            <v>6</v>
          </cell>
          <cell r="G31">
            <v>22</v>
          </cell>
          <cell r="H31">
            <v>2</v>
          </cell>
          <cell r="I31">
            <v>21</v>
          </cell>
          <cell r="J31">
            <v>18</v>
          </cell>
          <cell r="K31">
            <v>21</v>
          </cell>
          <cell r="L31">
            <v>7</v>
          </cell>
          <cell r="M31">
            <v>0</v>
          </cell>
          <cell r="N31">
            <v>0</v>
          </cell>
          <cell r="O31">
            <v>145</v>
          </cell>
        </row>
        <row r="32">
          <cell r="A32" t="str">
            <v>21 - 22</v>
          </cell>
          <cell r="B32">
            <v>14</v>
          </cell>
          <cell r="C32">
            <v>1</v>
          </cell>
          <cell r="D32">
            <v>4</v>
          </cell>
          <cell r="E32">
            <v>0</v>
          </cell>
          <cell r="F32">
            <v>0</v>
          </cell>
          <cell r="G32">
            <v>14</v>
          </cell>
          <cell r="H32">
            <v>1</v>
          </cell>
          <cell r="I32">
            <v>6</v>
          </cell>
          <cell r="J32">
            <v>4</v>
          </cell>
          <cell r="K32">
            <v>14</v>
          </cell>
          <cell r="L32">
            <v>2</v>
          </cell>
          <cell r="M32">
            <v>0</v>
          </cell>
          <cell r="N32">
            <v>0</v>
          </cell>
          <cell r="O32">
            <v>60</v>
          </cell>
        </row>
        <row r="33">
          <cell r="A33" t="str">
            <v>22 - 23</v>
          </cell>
          <cell r="B33">
            <v>5</v>
          </cell>
          <cell r="C33">
            <v>1</v>
          </cell>
          <cell r="D33">
            <v>4</v>
          </cell>
          <cell r="E33">
            <v>0</v>
          </cell>
          <cell r="F33">
            <v>3</v>
          </cell>
          <cell r="G33">
            <v>7</v>
          </cell>
          <cell r="H33">
            <v>1</v>
          </cell>
          <cell r="I33">
            <v>4</v>
          </cell>
          <cell r="J33">
            <v>10</v>
          </cell>
          <cell r="K33">
            <v>18</v>
          </cell>
          <cell r="L33">
            <v>2</v>
          </cell>
          <cell r="M33">
            <v>0</v>
          </cell>
          <cell r="N33">
            <v>0</v>
          </cell>
          <cell r="O33">
            <v>55</v>
          </cell>
        </row>
        <row r="34">
          <cell r="A34" t="str">
            <v>23 - 24</v>
          </cell>
          <cell r="B34">
            <v>8</v>
          </cell>
          <cell r="C34">
            <v>4</v>
          </cell>
          <cell r="D34">
            <v>7</v>
          </cell>
          <cell r="E34">
            <v>0</v>
          </cell>
          <cell r="F34">
            <v>1</v>
          </cell>
          <cell r="G34">
            <v>12</v>
          </cell>
          <cell r="H34">
            <v>0</v>
          </cell>
          <cell r="I34">
            <v>3</v>
          </cell>
          <cell r="J34">
            <v>9</v>
          </cell>
          <cell r="K34">
            <v>11</v>
          </cell>
          <cell r="L34">
            <v>4</v>
          </cell>
          <cell r="M34">
            <v>0</v>
          </cell>
          <cell r="N34">
            <v>0</v>
          </cell>
          <cell r="O34">
            <v>59</v>
          </cell>
        </row>
        <row r="35">
          <cell r="B35">
            <v>373</v>
          </cell>
          <cell r="C35">
            <v>77</v>
          </cell>
          <cell r="D35">
            <v>230</v>
          </cell>
          <cell r="E35">
            <v>1</v>
          </cell>
          <cell r="F35">
            <v>45</v>
          </cell>
          <cell r="G35">
            <v>316</v>
          </cell>
          <cell r="H35">
            <v>34</v>
          </cell>
          <cell r="I35">
            <v>159</v>
          </cell>
          <cell r="J35">
            <v>194</v>
          </cell>
          <cell r="K35">
            <v>302</v>
          </cell>
          <cell r="L35">
            <v>100</v>
          </cell>
          <cell r="M35">
            <v>10</v>
          </cell>
          <cell r="N35">
            <v>0</v>
          </cell>
        </row>
      </sheetData>
      <sheetData sheetId="1"/>
      <sheetData sheetId="2">
        <row r="11">
          <cell r="B11">
            <v>6</v>
          </cell>
          <cell r="C11">
            <v>2</v>
          </cell>
          <cell r="D11">
            <v>0</v>
          </cell>
          <cell r="E11">
            <v>0</v>
          </cell>
          <cell r="F11">
            <v>2</v>
          </cell>
          <cell r="G11">
            <v>28</v>
          </cell>
          <cell r="H11">
            <v>2</v>
          </cell>
          <cell r="I11">
            <v>8</v>
          </cell>
          <cell r="J11">
            <v>6</v>
          </cell>
          <cell r="K11">
            <v>8</v>
          </cell>
          <cell r="L11">
            <v>2</v>
          </cell>
          <cell r="M11">
            <v>0</v>
          </cell>
          <cell r="N11">
            <v>0</v>
          </cell>
        </row>
        <row r="12">
          <cell r="B12">
            <v>4</v>
          </cell>
          <cell r="C12">
            <v>1</v>
          </cell>
          <cell r="D12">
            <v>6</v>
          </cell>
          <cell r="E12">
            <v>0</v>
          </cell>
          <cell r="F12">
            <v>2</v>
          </cell>
          <cell r="G12">
            <v>21</v>
          </cell>
          <cell r="H12">
            <v>3</v>
          </cell>
          <cell r="I12">
            <v>2</v>
          </cell>
          <cell r="J12">
            <v>9</v>
          </cell>
          <cell r="K12">
            <v>21</v>
          </cell>
          <cell r="L12">
            <v>4</v>
          </cell>
          <cell r="M12">
            <v>0</v>
          </cell>
          <cell r="N12">
            <v>0</v>
          </cell>
        </row>
        <row r="13">
          <cell r="B13">
            <v>5</v>
          </cell>
          <cell r="C13">
            <v>1</v>
          </cell>
          <cell r="D13">
            <v>2</v>
          </cell>
          <cell r="E13">
            <v>0</v>
          </cell>
          <cell r="F13">
            <v>1</v>
          </cell>
          <cell r="G13">
            <v>24</v>
          </cell>
          <cell r="H13">
            <v>2</v>
          </cell>
          <cell r="I13">
            <v>4</v>
          </cell>
          <cell r="J13">
            <v>7</v>
          </cell>
          <cell r="K13">
            <v>6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8</v>
          </cell>
          <cell r="C14">
            <v>4</v>
          </cell>
          <cell r="D14">
            <v>3</v>
          </cell>
          <cell r="E14">
            <v>0</v>
          </cell>
          <cell r="F14">
            <v>0</v>
          </cell>
          <cell r="G14">
            <v>27</v>
          </cell>
          <cell r="H14">
            <v>0</v>
          </cell>
          <cell r="I14">
            <v>6</v>
          </cell>
          <cell r="J14">
            <v>13</v>
          </cell>
          <cell r="K14">
            <v>4</v>
          </cell>
          <cell r="L14">
            <v>2</v>
          </cell>
          <cell r="M14">
            <v>0</v>
          </cell>
          <cell r="N14">
            <v>0</v>
          </cell>
        </row>
        <row r="15">
          <cell r="B15">
            <v>6</v>
          </cell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12</v>
          </cell>
          <cell r="H15">
            <v>1</v>
          </cell>
          <cell r="I15">
            <v>3</v>
          </cell>
          <cell r="J15">
            <v>13</v>
          </cell>
          <cell r="K15">
            <v>2</v>
          </cell>
          <cell r="L15">
            <v>2</v>
          </cell>
          <cell r="M15">
            <v>0</v>
          </cell>
          <cell r="N15">
            <v>0</v>
          </cell>
        </row>
        <row r="16">
          <cell r="B16">
            <v>6</v>
          </cell>
          <cell r="C16">
            <v>3</v>
          </cell>
          <cell r="D16">
            <v>7</v>
          </cell>
          <cell r="E16">
            <v>0</v>
          </cell>
          <cell r="F16">
            <v>0</v>
          </cell>
          <cell r="G16">
            <v>15</v>
          </cell>
          <cell r="H16">
            <v>1</v>
          </cell>
          <cell r="I16">
            <v>0</v>
          </cell>
          <cell r="J16">
            <v>7</v>
          </cell>
          <cell r="K16">
            <v>6</v>
          </cell>
          <cell r="L16">
            <v>1</v>
          </cell>
          <cell r="M16">
            <v>0</v>
          </cell>
          <cell r="N16">
            <v>0</v>
          </cell>
        </row>
        <row r="17">
          <cell r="B17">
            <v>16</v>
          </cell>
          <cell r="C17">
            <v>1</v>
          </cell>
          <cell r="D17">
            <v>15</v>
          </cell>
          <cell r="E17">
            <v>0</v>
          </cell>
          <cell r="F17">
            <v>0</v>
          </cell>
          <cell r="G17">
            <v>11</v>
          </cell>
          <cell r="H17">
            <v>1</v>
          </cell>
          <cell r="I17">
            <v>5</v>
          </cell>
          <cell r="J17">
            <v>4</v>
          </cell>
          <cell r="K17">
            <v>28</v>
          </cell>
          <cell r="L17">
            <v>1</v>
          </cell>
          <cell r="M17">
            <v>2</v>
          </cell>
          <cell r="N17">
            <v>0</v>
          </cell>
        </row>
        <row r="18">
          <cell r="B18">
            <v>38</v>
          </cell>
          <cell r="C18">
            <v>5</v>
          </cell>
          <cell r="D18">
            <v>14</v>
          </cell>
          <cell r="E18">
            <v>0</v>
          </cell>
          <cell r="F18">
            <v>1</v>
          </cell>
          <cell r="G18">
            <v>3</v>
          </cell>
          <cell r="H18">
            <v>1</v>
          </cell>
          <cell r="I18">
            <v>6</v>
          </cell>
          <cell r="J18">
            <v>10</v>
          </cell>
          <cell r="K18">
            <v>18</v>
          </cell>
          <cell r="L18">
            <v>2</v>
          </cell>
          <cell r="M18">
            <v>1</v>
          </cell>
          <cell r="N18">
            <v>0</v>
          </cell>
        </row>
        <row r="19">
          <cell r="B19">
            <v>43</v>
          </cell>
          <cell r="C19">
            <v>4</v>
          </cell>
          <cell r="D19">
            <v>16</v>
          </cell>
          <cell r="E19">
            <v>0</v>
          </cell>
          <cell r="F19">
            <v>1</v>
          </cell>
          <cell r="G19">
            <v>3</v>
          </cell>
          <cell r="H19">
            <v>0</v>
          </cell>
          <cell r="I19">
            <v>4</v>
          </cell>
          <cell r="J19">
            <v>5</v>
          </cell>
          <cell r="K19">
            <v>15</v>
          </cell>
          <cell r="L19">
            <v>1</v>
          </cell>
          <cell r="M19">
            <v>0</v>
          </cell>
          <cell r="N19">
            <v>0</v>
          </cell>
        </row>
        <row r="20">
          <cell r="B20">
            <v>14</v>
          </cell>
          <cell r="C20">
            <v>3</v>
          </cell>
          <cell r="D20">
            <v>10</v>
          </cell>
          <cell r="E20">
            <v>0</v>
          </cell>
          <cell r="F20">
            <v>3</v>
          </cell>
          <cell r="G20">
            <v>8</v>
          </cell>
          <cell r="H20">
            <v>2</v>
          </cell>
          <cell r="I20">
            <v>2</v>
          </cell>
          <cell r="J20">
            <v>7</v>
          </cell>
          <cell r="K20">
            <v>8</v>
          </cell>
          <cell r="L20">
            <v>5</v>
          </cell>
          <cell r="M20">
            <v>0</v>
          </cell>
          <cell r="N20">
            <v>0</v>
          </cell>
        </row>
        <row r="21">
          <cell r="B21">
            <v>29</v>
          </cell>
          <cell r="C21">
            <v>19</v>
          </cell>
          <cell r="D21">
            <v>21</v>
          </cell>
          <cell r="E21">
            <v>0</v>
          </cell>
          <cell r="F21">
            <v>4</v>
          </cell>
          <cell r="G21">
            <v>21</v>
          </cell>
          <cell r="H21">
            <v>0</v>
          </cell>
          <cell r="I21">
            <v>13</v>
          </cell>
          <cell r="J21">
            <v>10</v>
          </cell>
          <cell r="K21">
            <v>18</v>
          </cell>
          <cell r="L21">
            <v>6</v>
          </cell>
          <cell r="M21">
            <v>0</v>
          </cell>
          <cell r="N21">
            <v>0</v>
          </cell>
        </row>
        <row r="22">
          <cell r="B22">
            <v>25</v>
          </cell>
          <cell r="C22">
            <v>8</v>
          </cell>
          <cell r="D22">
            <v>13</v>
          </cell>
          <cell r="E22">
            <v>0</v>
          </cell>
          <cell r="F22">
            <v>0</v>
          </cell>
          <cell r="G22">
            <v>12</v>
          </cell>
          <cell r="H22">
            <v>0</v>
          </cell>
          <cell r="I22">
            <v>1</v>
          </cell>
          <cell r="J22">
            <v>5</v>
          </cell>
          <cell r="K22">
            <v>5</v>
          </cell>
          <cell r="L22">
            <v>0</v>
          </cell>
          <cell r="M22">
            <v>0</v>
          </cell>
          <cell r="N22">
            <v>0</v>
          </cell>
        </row>
        <row r="23">
          <cell r="B23">
            <v>38</v>
          </cell>
          <cell r="C23">
            <v>2</v>
          </cell>
          <cell r="D23">
            <v>12</v>
          </cell>
          <cell r="E23">
            <v>0</v>
          </cell>
          <cell r="F23">
            <v>0</v>
          </cell>
          <cell r="G23">
            <v>13</v>
          </cell>
          <cell r="H23">
            <v>0</v>
          </cell>
          <cell r="I23">
            <v>0</v>
          </cell>
          <cell r="J23">
            <v>6</v>
          </cell>
          <cell r="K23">
            <v>5</v>
          </cell>
          <cell r="L23">
            <v>5</v>
          </cell>
          <cell r="M23">
            <v>0</v>
          </cell>
          <cell r="N23">
            <v>0</v>
          </cell>
        </row>
        <row r="24">
          <cell r="B24">
            <v>16</v>
          </cell>
          <cell r="C24">
            <v>2</v>
          </cell>
          <cell r="D24">
            <v>31</v>
          </cell>
          <cell r="E24">
            <v>1</v>
          </cell>
          <cell r="F24">
            <v>3</v>
          </cell>
          <cell r="G24">
            <v>18</v>
          </cell>
          <cell r="H24">
            <v>2</v>
          </cell>
          <cell r="I24">
            <v>7</v>
          </cell>
          <cell r="J24">
            <v>5</v>
          </cell>
          <cell r="K24">
            <v>11</v>
          </cell>
          <cell r="L24">
            <v>22</v>
          </cell>
          <cell r="M24">
            <v>0</v>
          </cell>
          <cell r="N24">
            <v>0</v>
          </cell>
        </row>
        <row r="25">
          <cell r="B25">
            <v>32</v>
          </cell>
          <cell r="C25">
            <v>12</v>
          </cell>
          <cell r="D25">
            <v>24</v>
          </cell>
          <cell r="E25">
            <v>0</v>
          </cell>
          <cell r="F25">
            <v>3</v>
          </cell>
          <cell r="G25">
            <v>23</v>
          </cell>
          <cell r="H25">
            <v>3</v>
          </cell>
          <cell r="I25">
            <v>13</v>
          </cell>
          <cell r="J25">
            <v>9</v>
          </cell>
          <cell r="K25">
            <v>29</v>
          </cell>
          <cell r="L25">
            <v>9</v>
          </cell>
          <cell r="M25">
            <v>3</v>
          </cell>
          <cell r="N25">
            <v>0</v>
          </cell>
        </row>
        <row r="26">
          <cell r="B26">
            <v>16</v>
          </cell>
          <cell r="C26">
            <v>3</v>
          </cell>
          <cell r="D26">
            <v>23</v>
          </cell>
          <cell r="E26">
            <v>1</v>
          </cell>
          <cell r="F26">
            <v>2</v>
          </cell>
          <cell r="G26">
            <v>7</v>
          </cell>
          <cell r="H26">
            <v>2</v>
          </cell>
          <cell r="I26">
            <v>5</v>
          </cell>
          <cell r="J26">
            <v>13</v>
          </cell>
          <cell r="K26">
            <v>17</v>
          </cell>
          <cell r="L26">
            <v>4</v>
          </cell>
          <cell r="M26">
            <v>0</v>
          </cell>
          <cell r="N26">
            <v>0</v>
          </cell>
        </row>
        <row r="27">
          <cell r="B27">
            <v>22</v>
          </cell>
          <cell r="C27">
            <v>0</v>
          </cell>
          <cell r="D27">
            <v>17</v>
          </cell>
          <cell r="E27">
            <v>0</v>
          </cell>
          <cell r="F27">
            <v>1</v>
          </cell>
          <cell r="G27">
            <v>16</v>
          </cell>
          <cell r="H27">
            <v>2</v>
          </cell>
          <cell r="I27">
            <v>13</v>
          </cell>
          <cell r="J27">
            <v>8</v>
          </cell>
          <cell r="K27">
            <v>13</v>
          </cell>
          <cell r="L27">
            <v>4</v>
          </cell>
          <cell r="M27">
            <v>0</v>
          </cell>
          <cell r="N27">
            <v>0</v>
          </cell>
        </row>
        <row r="28">
          <cell r="B28">
            <v>11</v>
          </cell>
          <cell r="C28">
            <v>3</v>
          </cell>
          <cell r="D28">
            <v>13</v>
          </cell>
          <cell r="E28">
            <v>0</v>
          </cell>
          <cell r="F28">
            <v>2</v>
          </cell>
          <cell r="G28">
            <v>9</v>
          </cell>
          <cell r="H28">
            <v>2</v>
          </cell>
          <cell r="I28">
            <v>7</v>
          </cell>
          <cell r="J28">
            <v>11</v>
          </cell>
          <cell r="K28">
            <v>12</v>
          </cell>
          <cell r="L28">
            <v>1</v>
          </cell>
          <cell r="M28">
            <v>0</v>
          </cell>
          <cell r="N28">
            <v>0</v>
          </cell>
        </row>
        <row r="29">
          <cell r="B29">
            <v>24</v>
          </cell>
          <cell r="C29">
            <v>5</v>
          </cell>
          <cell r="D29">
            <v>10</v>
          </cell>
          <cell r="E29">
            <v>0</v>
          </cell>
          <cell r="F29">
            <v>0</v>
          </cell>
          <cell r="G29">
            <v>5</v>
          </cell>
          <cell r="H29">
            <v>1</v>
          </cell>
          <cell r="I29">
            <v>3</v>
          </cell>
          <cell r="J29">
            <v>9</v>
          </cell>
          <cell r="K29">
            <v>12</v>
          </cell>
          <cell r="L29">
            <v>1</v>
          </cell>
          <cell r="M29">
            <v>0</v>
          </cell>
          <cell r="N29">
            <v>0</v>
          </cell>
        </row>
        <row r="30">
          <cell r="B30">
            <v>15</v>
          </cell>
          <cell r="C30">
            <v>3</v>
          </cell>
          <cell r="D30">
            <v>9</v>
          </cell>
          <cell r="E30">
            <v>0</v>
          </cell>
          <cell r="F30">
            <v>3</v>
          </cell>
          <cell r="G30">
            <v>10</v>
          </cell>
          <cell r="H30">
            <v>2</v>
          </cell>
          <cell r="I30">
            <v>7</v>
          </cell>
          <cell r="J30">
            <v>10</v>
          </cell>
          <cell r="K30">
            <v>13</v>
          </cell>
          <cell r="L30">
            <v>2</v>
          </cell>
          <cell r="M30">
            <v>0</v>
          </cell>
          <cell r="N30">
            <v>0</v>
          </cell>
        </row>
        <row r="31">
          <cell r="B31">
            <v>13</v>
          </cell>
          <cell r="C31">
            <v>6</v>
          </cell>
          <cell r="D31">
            <v>14</v>
          </cell>
          <cell r="E31">
            <v>0</v>
          </cell>
          <cell r="F31">
            <v>7</v>
          </cell>
          <cell r="G31">
            <v>9</v>
          </cell>
          <cell r="H31">
            <v>0</v>
          </cell>
          <cell r="I31">
            <v>6</v>
          </cell>
          <cell r="J31">
            <v>13</v>
          </cell>
          <cell r="K31">
            <v>14</v>
          </cell>
          <cell r="L31">
            <v>7</v>
          </cell>
          <cell r="M31">
            <v>0</v>
          </cell>
          <cell r="N31">
            <v>0</v>
          </cell>
        </row>
        <row r="32">
          <cell r="B32">
            <v>11</v>
          </cell>
          <cell r="C32">
            <v>7</v>
          </cell>
          <cell r="D32">
            <v>3</v>
          </cell>
          <cell r="E32">
            <v>0</v>
          </cell>
          <cell r="F32">
            <v>0</v>
          </cell>
          <cell r="G32">
            <v>3</v>
          </cell>
          <cell r="H32">
            <v>1</v>
          </cell>
          <cell r="I32">
            <v>3</v>
          </cell>
          <cell r="J32">
            <v>6</v>
          </cell>
          <cell r="K32">
            <v>6</v>
          </cell>
          <cell r="L32">
            <v>2</v>
          </cell>
          <cell r="M32">
            <v>0</v>
          </cell>
          <cell r="N32">
            <v>0</v>
          </cell>
        </row>
        <row r="33">
          <cell r="B33">
            <v>8</v>
          </cell>
          <cell r="C33">
            <v>1</v>
          </cell>
          <cell r="D33">
            <v>7</v>
          </cell>
          <cell r="E33">
            <v>0</v>
          </cell>
          <cell r="F33">
            <v>1</v>
          </cell>
          <cell r="G33">
            <v>2</v>
          </cell>
          <cell r="H33">
            <v>0</v>
          </cell>
          <cell r="I33">
            <v>6</v>
          </cell>
          <cell r="J33">
            <v>13</v>
          </cell>
          <cell r="K33">
            <v>17</v>
          </cell>
          <cell r="L33">
            <v>6</v>
          </cell>
          <cell r="M33">
            <v>0</v>
          </cell>
          <cell r="N33">
            <v>0</v>
          </cell>
        </row>
        <row r="34">
          <cell r="B34">
            <v>8</v>
          </cell>
          <cell r="C34">
            <v>3</v>
          </cell>
          <cell r="D34">
            <v>9</v>
          </cell>
          <cell r="E34">
            <v>0</v>
          </cell>
          <cell r="F34">
            <v>0</v>
          </cell>
          <cell r="G34">
            <v>5</v>
          </cell>
          <cell r="H34">
            <v>0</v>
          </cell>
          <cell r="I34">
            <v>4</v>
          </cell>
          <cell r="J34">
            <v>11</v>
          </cell>
          <cell r="K34">
            <v>15</v>
          </cell>
          <cell r="L34">
            <v>7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13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CAIHUASI 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10</v>
          </cell>
          <cell r="C11">
            <v>3</v>
          </cell>
          <cell r="D11">
            <v>4</v>
          </cell>
          <cell r="E11">
            <v>0</v>
          </cell>
          <cell r="F11">
            <v>3</v>
          </cell>
          <cell r="G11">
            <v>21</v>
          </cell>
          <cell r="H11">
            <v>5</v>
          </cell>
          <cell r="I11">
            <v>7</v>
          </cell>
          <cell r="J11">
            <v>6</v>
          </cell>
          <cell r="K11">
            <v>10</v>
          </cell>
          <cell r="L11">
            <v>4</v>
          </cell>
          <cell r="M11">
            <v>1</v>
          </cell>
          <cell r="N11">
            <v>0</v>
          </cell>
          <cell r="O11">
            <v>74</v>
          </cell>
        </row>
        <row r="12">
          <cell r="A12" t="str">
            <v>1 - 2</v>
          </cell>
          <cell r="B12">
            <v>5</v>
          </cell>
          <cell r="C12">
            <v>1</v>
          </cell>
          <cell r="D12">
            <v>3</v>
          </cell>
          <cell r="E12">
            <v>0</v>
          </cell>
          <cell r="F12">
            <v>2</v>
          </cell>
          <cell r="G12">
            <v>38</v>
          </cell>
          <cell r="H12">
            <v>0</v>
          </cell>
          <cell r="I12">
            <v>7</v>
          </cell>
          <cell r="J12">
            <v>10</v>
          </cell>
          <cell r="K12">
            <v>8</v>
          </cell>
          <cell r="L12">
            <v>1</v>
          </cell>
          <cell r="M12">
            <v>0</v>
          </cell>
          <cell r="N12">
            <v>0</v>
          </cell>
          <cell r="O12">
            <v>75</v>
          </cell>
        </row>
        <row r="13">
          <cell r="A13" t="str">
            <v>2 - 3</v>
          </cell>
          <cell r="B13">
            <v>7</v>
          </cell>
          <cell r="C13">
            <v>0</v>
          </cell>
          <cell r="D13">
            <v>2</v>
          </cell>
          <cell r="E13">
            <v>0</v>
          </cell>
          <cell r="F13">
            <v>1</v>
          </cell>
          <cell r="G13">
            <v>16</v>
          </cell>
          <cell r="H13">
            <v>0</v>
          </cell>
          <cell r="I13">
            <v>2</v>
          </cell>
          <cell r="J13">
            <v>6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36</v>
          </cell>
        </row>
        <row r="14">
          <cell r="A14" t="str">
            <v>3 - 4</v>
          </cell>
          <cell r="B14">
            <v>3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2</v>
          </cell>
          <cell r="J14">
            <v>3</v>
          </cell>
          <cell r="K14">
            <v>6</v>
          </cell>
          <cell r="L14">
            <v>0</v>
          </cell>
          <cell r="M14">
            <v>0</v>
          </cell>
          <cell r="N14">
            <v>0</v>
          </cell>
          <cell r="O14">
            <v>17</v>
          </cell>
        </row>
        <row r="15">
          <cell r="A15" t="str">
            <v>4 - 5</v>
          </cell>
          <cell r="B15">
            <v>2</v>
          </cell>
          <cell r="C15">
            <v>2</v>
          </cell>
          <cell r="D15">
            <v>3</v>
          </cell>
          <cell r="E15">
            <v>0</v>
          </cell>
          <cell r="F15">
            <v>0</v>
          </cell>
          <cell r="G15">
            <v>2</v>
          </cell>
          <cell r="H15">
            <v>0</v>
          </cell>
          <cell r="I15">
            <v>1</v>
          </cell>
          <cell r="J15">
            <v>4</v>
          </cell>
          <cell r="K15">
            <v>3</v>
          </cell>
          <cell r="L15">
            <v>1</v>
          </cell>
          <cell r="M15">
            <v>0</v>
          </cell>
          <cell r="N15">
            <v>0</v>
          </cell>
          <cell r="O15">
            <v>18</v>
          </cell>
        </row>
        <row r="16">
          <cell r="A16" t="str">
            <v>5 - 6</v>
          </cell>
          <cell r="B16">
            <v>7</v>
          </cell>
          <cell r="C16">
            <v>2</v>
          </cell>
          <cell r="D16">
            <v>8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2</v>
          </cell>
          <cell r="J16">
            <v>5</v>
          </cell>
          <cell r="K16">
            <v>8</v>
          </cell>
          <cell r="L16">
            <v>1</v>
          </cell>
          <cell r="M16">
            <v>0</v>
          </cell>
          <cell r="N16">
            <v>0</v>
          </cell>
          <cell r="O16">
            <v>36</v>
          </cell>
        </row>
        <row r="17">
          <cell r="A17" t="str">
            <v>6 - 7</v>
          </cell>
          <cell r="B17">
            <v>5</v>
          </cell>
          <cell r="C17">
            <v>5</v>
          </cell>
          <cell r="D17">
            <v>10</v>
          </cell>
          <cell r="E17">
            <v>0</v>
          </cell>
          <cell r="F17">
            <v>2</v>
          </cell>
          <cell r="G17">
            <v>3</v>
          </cell>
          <cell r="H17">
            <v>0</v>
          </cell>
          <cell r="I17">
            <v>1</v>
          </cell>
          <cell r="J17">
            <v>4</v>
          </cell>
          <cell r="K17">
            <v>14</v>
          </cell>
          <cell r="L17">
            <v>4</v>
          </cell>
          <cell r="M17">
            <v>1</v>
          </cell>
          <cell r="N17">
            <v>0</v>
          </cell>
          <cell r="O17">
            <v>49</v>
          </cell>
        </row>
        <row r="18">
          <cell r="A18" t="str">
            <v>7 - 8</v>
          </cell>
          <cell r="B18">
            <v>13</v>
          </cell>
          <cell r="C18">
            <v>2</v>
          </cell>
          <cell r="D18">
            <v>7</v>
          </cell>
          <cell r="E18">
            <v>0</v>
          </cell>
          <cell r="F18">
            <v>1</v>
          </cell>
          <cell r="G18">
            <v>3</v>
          </cell>
          <cell r="H18">
            <v>0</v>
          </cell>
          <cell r="I18">
            <v>3</v>
          </cell>
          <cell r="J18">
            <v>4</v>
          </cell>
          <cell r="K18">
            <v>11</v>
          </cell>
          <cell r="L18">
            <v>0</v>
          </cell>
          <cell r="M18">
            <v>0</v>
          </cell>
          <cell r="N18">
            <v>0</v>
          </cell>
          <cell r="O18">
            <v>44</v>
          </cell>
        </row>
        <row r="19">
          <cell r="A19" t="str">
            <v>8 - 9</v>
          </cell>
          <cell r="B19">
            <v>22</v>
          </cell>
          <cell r="C19">
            <v>7</v>
          </cell>
          <cell r="D19">
            <v>12</v>
          </cell>
          <cell r="E19">
            <v>1</v>
          </cell>
          <cell r="F19">
            <v>2</v>
          </cell>
          <cell r="G19">
            <v>6</v>
          </cell>
          <cell r="H19">
            <v>2</v>
          </cell>
          <cell r="I19">
            <v>3</v>
          </cell>
          <cell r="J19">
            <v>4</v>
          </cell>
          <cell r="K19">
            <v>10</v>
          </cell>
          <cell r="L19">
            <v>2</v>
          </cell>
          <cell r="M19">
            <v>3</v>
          </cell>
          <cell r="N19">
            <v>0</v>
          </cell>
          <cell r="O19">
            <v>74</v>
          </cell>
        </row>
        <row r="20">
          <cell r="A20" t="str">
            <v>9 - 10</v>
          </cell>
          <cell r="B20">
            <v>12</v>
          </cell>
          <cell r="C20">
            <v>1</v>
          </cell>
          <cell r="D20">
            <v>5</v>
          </cell>
          <cell r="E20">
            <v>0</v>
          </cell>
          <cell r="F20">
            <v>0</v>
          </cell>
          <cell r="G20">
            <v>4</v>
          </cell>
          <cell r="H20">
            <v>0</v>
          </cell>
          <cell r="I20">
            <v>6</v>
          </cell>
          <cell r="J20">
            <v>7</v>
          </cell>
          <cell r="K20">
            <v>7</v>
          </cell>
          <cell r="L20">
            <v>0</v>
          </cell>
          <cell r="M20">
            <v>0</v>
          </cell>
          <cell r="N20">
            <v>0</v>
          </cell>
          <cell r="O20">
            <v>42</v>
          </cell>
        </row>
        <row r="21">
          <cell r="A21" t="str">
            <v>10 - 11</v>
          </cell>
          <cell r="B21">
            <v>19</v>
          </cell>
          <cell r="C21">
            <v>3</v>
          </cell>
          <cell r="D21">
            <v>9</v>
          </cell>
          <cell r="E21">
            <v>0</v>
          </cell>
          <cell r="F21">
            <v>2</v>
          </cell>
          <cell r="G21">
            <v>8</v>
          </cell>
          <cell r="H21">
            <v>1</v>
          </cell>
          <cell r="I21">
            <v>5</v>
          </cell>
          <cell r="J21">
            <v>6</v>
          </cell>
          <cell r="K21">
            <v>12</v>
          </cell>
          <cell r="L21">
            <v>0</v>
          </cell>
          <cell r="M21">
            <v>0</v>
          </cell>
          <cell r="N21">
            <v>0</v>
          </cell>
          <cell r="O21">
            <v>65</v>
          </cell>
        </row>
        <row r="22">
          <cell r="A22" t="str">
            <v>11 - 12</v>
          </cell>
          <cell r="B22">
            <v>26</v>
          </cell>
          <cell r="C22">
            <v>1</v>
          </cell>
          <cell r="D22">
            <v>2</v>
          </cell>
          <cell r="E22">
            <v>0</v>
          </cell>
          <cell r="F22">
            <v>2</v>
          </cell>
          <cell r="G22">
            <v>15</v>
          </cell>
          <cell r="H22">
            <v>1</v>
          </cell>
          <cell r="I22">
            <v>4</v>
          </cell>
          <cell r="J22">
            <v>10</v>
          </cell>
          <cell r="K22">
            <v>13</v>
          </cell>
          <cell r="L22">
            <v>3</v>
          </cell>
          <cell r="M22">
            <v>0</v>
          </cell>
          <cell r="N22">
            <v>0</v>
          </cell>
          <cell r="O22">
            <v>77</v>
          </cell>
        </row>
        <row r="23">
          <cell r="A23" t="str">
            <v>12 - 13</v>
          </cell>
          <cell r="B23">
            <v>16</v>
          </cell>
          <cell r="C23">
            <v>5</v>
          </cell>
          <cell r="D23">
            <v>17</v>
          </cell>
          <cell r="E23">
            <v>0</v>
          </cell>
          <cell r="F23">
            <v>2</v>
          </cell>
          <cell r="G23">
            <v>13</v>
          </cell>
          <cell r="H23">
            <v>0</v>
          </cell>
          <cell r="I23">
            <v>5</v>
          </cell>
          <cell r="J23">
            <v>12</v>
          </cell>
          <cell r="K23">
            <v>9</v>
          </cell>
          <cell r="L23">
            <v>4</v>
          </cell>
          <cell r="M23">
            <v>0</v>
          </cell>
          <cell r="N23">
            <v>0</v>
          </cell>
          <cell r="O23">
            <v>83</v>
          </cell>
        </row>
        <row r="24">
          <cell r="A24" t="str">
            <v>13 - 14</v>
          </cell>
          <cell r="B24">
            <v>16</v>
          </cell>
          <cell r="C24">
            <v>7</v>
          </cell>
          <cell r="D24">
            <v>16</v>
          </cell>
          <cell r="E24">
            <v>0</v>
          </cell>
          <cell r="F24">
            <v>2</v>
          </cell>
          <cell r="G24">
            <v>16</v>
          </cell>
          <cell r="H24">
            <v>1</v>
          </cell>
          <cell r="I24">
            <v>5</v>
          </cell>
          <cell r="J24">
            <v>15</v>
          </cell>
          <cell r="K24">
            <v>14</v>
          </cell>
          <cell r="L24">
            <v>4</v>
          </cell>
          <cell r="M24">
            <v>0</v>
          </cell>
          <cell r="N24">
            <v>0</v>
          </cell>
          <cell r="O24">
            <v>96</v>
          </cell>
        </row>
        <row r="25">
          <cell r="A25" t="str">
            <v>14 - 15</v>
          </cell>
          <cell r="B25">
            <v>14</v>
          </cell>
          <cell r="C25">
            <v>5</v>
          </cell>
          <cell r="D25">
            <v>11</v>
          </cell>
          <cell r="E25">
            <v>0</v>
          </cell>
          <cell r="F25">
            <v>4</v>
          </cell>
          <cell r="G25">
            <v>19</v>
          </cell>
          <cell r="H25">
            <v>0</v>
          </cell>
          <cell r="I25">
            <v>1</v>
          </cell>
          <cell r="J25">
            <v>12</v>
          </cell>
          <cell r="K25">
            <v>12</v>
          </cell>
          <cell r="L25">
            <v>4</v>
          </cell>
          <cell r="M25">
            <v>0</v>
          </cell>
          <cell r="N25">
            <v>0</v>
          </cell>
          <cell r="O25">
            <v>82</v>
          </cell>
        </row>
        <row r="26">
          <cell r="A26" t="str">
            <v>15 - 16</v>
          </cell>
          <cell r="B26">
            <v>30</v>
          </cell>
          <cell r="C26">
            <v>3</v>
          </cell>
          <cell r="D26">
            <v>24</v>
          </cell>
          <cell r="E26">
            <v>0</v>
          </cell>
          <cell r="F26">
            <v>2</v>
          </cell>
          <cell r="G26">
            <v>18</v>
          </cell>
          <cell r="H26">
            <v>3</v>
          </cell>
          <cell r="I26">
            <v>10</v>
          </cell>
          <cell r="J26">
            <v>16</v>
          </cell>
          <cell r="K26">
            <v>10</v>
          </cell>
          <cell r="L26">
            <v>7</v>
          </cell>
          <cell r="M26">
            <v>1</v>
          </cell>
          <cell r="N26">
            <v>0</v>
          </cell>
          <cell r="O26">
            <v>124</v>
          </cell>
        </row>
        <row r="27">
          <cell r="A27" t="str">
            <v>16 - 17</v>
          </cell>
          <cell r="B27">
            <v>22</v>
          </cell>
          <cell r="C27">
            <v>4</v>
          </cell>
          <cell r="D27">
            <v>24</v>
          </cell>
          <cell r="E27">
            <v>0</v>
          </cell>
          <cell r="F27">
            <v>0</v>
          </cell>
          <cell r="G27">
            <v>21</v>
          </cell>
          <cell r="H27">
            <v>3</v>
          </cell>
          <cell r="I27">
            <v>8</v>
          </cell>
          <cell r="J27">
            <v>8</v>
          </cell>
          <cell r="K27">
            <v>24</v>
          </cell>
          <cell r="L27">
            <v>4</v>
          </cell>
          <cell r="M27">
            <v>0</v>
          </cell>
          <cell r="N27">
            <v>0</v>
          </cell>
          <cell r="O27">
            <v>118</v>
          </cell>
        </row>
        <row r="28">
          <cell r="A28" t="str">
            <v>17 - 18</v>
          </cell>
          <cell r="B28">
            <v>34</v>
          </cell>
          <cell r="C28">
            <v>3</v>
          </cell>
          <cell r="D28">
            <v>22</v>
          </cell>
          <cell r="E28">
            <v>0</v>
          </cell>
          <cell r="F28">
            <v>2</v>
          </cell>
          <cell r="G28">
            <v>11</v>
          </cell>
          <cell r="H28">
            <v>2</v>
          </cell>
          <cell r="I28">
            <v>10</v>
          </cell>
          <cell r="J28">
            <v>11</v>
          </cell>
          <cell r="K28">
            <v>8</v>
          </cell>
          <cell r="L28">
            <v>4</v>
          </cell>
          <cell r="M28">
            <v>0</v>
          </cell>
          <cell r="N28">
            <v>0</v>
          </cell>
          <cell r="O28">
            <v>107</v>
          </cell>
        </row>
        <row r="29">
          <cell r="A29" t="str">
            <v>18 - 19</v>
          </cell>
          <cell r="B29">
            <v>15</v>
          </cell>
          <cell r="C29">
            <v>3</v>
          </cell>
          <cell r="D29">
            <v>10</v>
          </cell>
          <cell r="E29">
            <v>0</v>
          </cell>
          <cell r="F29">
            <v>0</v>
          </cell>
          <cell r="G29">
            <v>6</v>
          </cell>
          <cell r="H29">
            <v>0</v>
          </cell>
          <cell r="I29">
            <v>4</v>
          </cell>
          <cell r="J29">
            <v>11</v>
          </cell>
          <cell r="K29">
            <v>16</v>
          </cell>
          <cell r="L29">
            <v>4</v>
          </cell>
          <cell r="M29">
            <v>0</v>
          </cell>
          <cell r="N29">
            <v>0</v>
          </cell>
          <cell r="O29">
            <v>69</v>
          </cell>
        </row>
        <row r="30">
          <cell r="A30" t="str">
            <v>19 - 20</v>
          </cell>
          <cell r="B30">
            <v>18</v>
          </cell>
          <cell r="C30">
            <v>5</v>
          </cell>
          <cell r="D30">
            <v>11</v>
          </cell>
          <cell r="E30">
            <v>0</v>
          </cell>
          <cell r="F30">
            <v>1</v>
          </cell>
          <cell r="G30">
            <v>26</v>
          </cell>
          <cell r="H30">
            <v>3</v>
          </cell>
          <cell r="I30">
            <v>11</v>
          </cell>
          <cell r="J30">
            <v>15</v>
          </cell>
          <cell r="K30">
            <v>17</v>
          </cell>
          <cell r="L30">
            <v>5</v>
          </cell>
          <cell r="M30">
            <v>0</v>
          </cell>
          <cell r="N30">
            <v>0</v>
          </cell>
          <cell r="O30">
            <v>112</v>
          </cell>
        </row>
        <row r="31">
          <cell r="A31" t="str">
            <v>20 - 21</v>
          </cell>
          <cell r="B31">
            <v>15</v>
          </cell>
          <cell r="C31">
            <v>3</v>
          </cell>
          <cell r="D31">
            <v>13</v>
          </cell>
          <cell r="E31">
            <v>0</v>
          </cell>
          <cell r="F31">
            <v>2</v>
          </cell>
          <cell r="G31">
            <v>20</v>
          </cell>
          <cell r="H31">
            <v>2</v>
          </cell>
          <cell r="I31">
            <v>4</v>
          </cell>
          <cell r="J31">
            <v>17</v>
          </cell>
          <cell r="K31">
            <v>14</v>
          </cell>
          <cell r="L31">
            <v>4</v>
          </cell>
          <cell r="M31">
            <v>0</v>
          </cell>
          <cell r="N31">
            <v>0</v>
          </cell>
          <cell r="O31">
            <v>94</v>
          </cell>
        </row>
        <row r="32">
          <cell r="A32" t="str">
            <v>21 - 22</v>
          </cell>
          <cell r="B32">
            <v>14</v>
          </cell>
          <cell r="C32">
            <v>7</v>
          </cell>
          <cell r="D32">
            <v>17</v>
          </cell>
          <cell r="E32">
            <v>0</v>
          </cell>
          <cell r="F32">
            <v>8</v>
          </cell>
          <cell r="G32">
            <v>14</v>
          </cell>
          <cell r="H32">
            <v>2</v>
          </cell>
          <cell r="I32">
            <v>10</v>
          </cell>
          <cell r="J32">
            <v>19</v>
          </cell>
          <cell r="K32">
            <v>18</v>
          </cell>
          <cell r="L32">
            <v>10</v>
          </cell>
          <cell r="M32">
            <v>0</v>
          </cell>
          <cell r="N32">
            <v>0</v>
          </cell>
          <cell r="O32">
            <v>119</v>
          </cell>
        </row>
        <row r="33">
          <cell r="A33" t="str">
            <v>22 - 23</v>
          </cell>
          <cell r="B33">
            <v>16</v>
          </cell>
          <cell r="C33">
            <v>4</v>
          </cell>
          <cell r="D33">
            <v>9</v>
          </cell>
          <cell r="E33">
            <v>0</v>
          </cell>
          <cell r="F33">
            <v>2</v>
          </cell>
          <cell r="G33">
            <v>18</v>
          </cell>
          <cell r="H33">
            <v>1</v>
          </cell>
          <cell r="I33">
            <v>4</v>
          </cell>
          <cell r="J33">
            <v>23</v>
          </cell>
          <cell r="K33">
            <v>18</v>
          </cell>
          <cell r="L33">
            <v>5</v>
          </cell>
          <cell r="M33">
            <v>0</v>
          </cell>
          <cell r="N33">
            <v>0</v>
          </cell>
          <cell r="O33">
            <v>100</v>
          </cell>
        </row>
        <row r="34">
          <cell r="A34" t="str">
            <v>23 - 24</v>
          </cell>
          <cell r="B34">
            <v>18</v>
          </cell>
          <cell r="C34">
            <v>6</v>
          </cell>
          <cell r="D34">
            <v>21</v>
          </cell>
          <cell r="E34">
            <v>0</v>
          </cell>
          <cell r="F34">
            <v>5</v>
          </cell>
          <cell r="G34">
            <v>12</v>
          </cell>
          <cell r="H34">
            <v>0</v>
          </cell>
          <cell r="I34">
            <v>6</v>
          </cell>
          <cell r="J34">
            <v>9</v>
          </cell>
          <cell r="K34">
            <v>16</v>
          </cell>
          <cell r="L34">
            <v>3</v>
          </cell>
          <cell r="M34">
            <v>0</v>
          </cell>
          <cell r="N34">
            <v>0</v>
          </cell>
          <cell r="O34">
            <v>96</v>
          </cell>
        </row>
        <row r="35">
          <cell r="B35">
            <v>359</v>
          </cell>
          <cell r="C35">
            <v>82</v>
          </cell>
          <cell r="D35">
            <v>260</v>
          </cell>
          <cell r="E35">
            <v>1</v>
          </cell>
          <cell r="F35">
            <v>46</v>
          </cell>
          <cell r="G35">
            <v>315</v>
          </cell>
          <cell r="H35">
            <v>26</v>
          </cell>
          <cell r="I35">
            <v>121</v>
          </cell>
          <cell r="J35">
            <v>237</v>
          </cell>
          <cell r="K35">
            <v>280</v>
          </cell>
          <cell r="L35">
            <v>74</v>
          </cell>
          <cell r="M35">
            <v>6</v>
          </cell>
          <cell r="N35">
            <v>0</v>
          </cell>
        </row>
      </sheetData>
      <sheetData sheetId="1"/>
      <sheetData sheetId="2">
        <row r="11">
          <cell r="B11">
            <v>14</v>
          </cell>
          <cell r="C11">
            <v>6</v>
          </cell>
          <cell r="D11">
            <v>2</v>
          </cell>
          <cell r="E11">
            <v>0</v>
          </cell>
          <cell r="F11">
            <v>4</v>
          </cell>
          <cell r="G11">
            <v>11</v>
          </cell>
          <cell r="H11">
            <v>3</v>
          </cell>
          <cell r="I11">
            <v>5</v>
          </cell>
          <cell r="J11">
            <v>9</v>
          </cell>
          <cell r="K11">
            <v>16</v>
          </cell>
          <cell r="L11">
            <v>3</v>
          </cell>
          <cell r="M11">
            <v>0</v>
          </cell>
          <cell r="N11">
            <v>0</v>
          </cell>
        </row>
        <row r="12">
          <cell r="B12">
            <v>5</v>
          </cell>
          <cell r="C12">
            <v>0</v>
          </cell>
          <cell r="D12">
            <v>4</v>
          </cell>
          <cell r="E12">
            <v>0</v>
          </cell>
          <cell r="F12">
            <v>3</v>
          </cell>
          <cell r="G12">
            <v>32</v>
          </cell>
          <cell r="H12">
            <v>1</v>
          </cell>
          <cell r="I12">
            <v>5</v>
          </cell>
          <cell r="J12">
            <v>11</v>
          </cell>
          <cell r="K12">
            <v>13</v>
          </cell>
          <cell r="L12">
            <v>1</v>
          </cell>
          <cell r="M12">
            <v>0</v>
          </cell>
          <cell r="N12">
            <v>0</v>
          </cell>
        </row>
        <row r="13">
          <cell r="B13">
            <v>3</v>
          </cell>
          <cell r="C13">
            <v>1</v>
          </cell>
          <cell r="D13">
            <v>2</v>
          </cell>
          <cell r="E13">
            <v>1</v>
          </cell>
          <cell r="F13">
            <v>3</v>
          </cell>
          <cell r="G13">
            <v>37</v>
          </cell>
          <cell r="H13">
            <v>2</v>
          </cell>
          <cell r="I13">
            <v>8</v>
          </cell>
          <cell r="J13">
            <v>14</v>
          </cell>
          <cell r="K13">
            <v>4</v>
          </cell>
          <cell r="L13">
            <v>0</v>
          </cell>
          <cell r="M13">
            <v>0</v>
          </cell>
          <cell r="N13">
            <v>0</v>
          </cell>
        </row>
        <row r="14">
          <cell r="B14">
            <v>4</v>
          </cell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4</v>
          </cell>
          <cell r="J14">
            <v>8</v>
          </cell>
          <cell r="K14">
            <v>11</v>
          </cell>
          <cell r="L14">
            <v>2</v>
          </cell>
          <cell r="M14">
            <v>0</v>
          </cell>
          <cell r="N14">
            <v>0</v>
          </cell>
        </row>
        <row r="15">
          <cell r="B15">
            <v>2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4</v>
          </cell>
          <cell r="H15">
            <v>1</v>
          </cell>
          <cell r="I15">
            <v>3</v>
          </cell>
          <cell r="J15">
            <v>4</v>
          </cell>
          <cell r="K15">
            <v>5</v>
          </cell>
          <cell r="L15">
            <v>1</v>
          </cell>
          <cell r="M15">
            <v>0</v>
          </cell>
          <cell r="N15">
            <v>0</v>
          </cell>
        </row>
        <row r="16">
          <cell r="B16">
            <v>5</v>
          </cell>
          <cell r="C16">
            <v>2</v>
          </cell>
          <cell r="D16">
            <v>4</v>
          </cell>
          <cell r="E16">
            <v>0</v>
          </cell>
          <cell r="F16">
            <v>0</v>
          </cell>
          <cell r="G16">
            <v>6</v>
          </cell>
          <cell r="H16">
            <v>0</v>
          </cell>
          <cell r="I16">
            <v>3</v>
          </cell>
          <cell r="J16">
            <v>9</v>
          </cell>
          <cell r="K16">
            <v>15</v>
          </cell>
          <cell r="L16">
            <v>3</v>
          </cell>
          <cell r="M16">
            <v>0</v>
          </cell>
          <cell r="N16">
            <v>0</v>
          </cell>
        </row>
        <row r="17">
          <cell r="B17">
            <v>11</v>
          </cell>
          <cell r="C17">
            <v>1</v>
          </cell>
          <cell r="D17">
            <v>8</v>
          </cell>
          <cell r="E17">
            <v>0</v>
          </cell>
          <cell r="F17">
            <v>0</v>
          </cell>
          <cell r="G17">
            <v>7</v>
          </cell>
          <cell r="H17">
            <v>1</v>
          </cell>
          <cell r="I17">
            <v>5</v>
          </cell>
          <cell r="J17">
            <v>8</v>
          </cell>
          <cell r="K17">
            <v>16</v>
          </cell>
          <cell r="L17">
            <v>2</v>
          </cell>
          <cell r="M17">
            <v>1</v>
          </cell>
          <cell r="N17">
            <v>0</v>
          </cell>
        </row>
        <row r="18">
          <cell r="B18">
            <v>26</v>
          </cell>
          <cell r="C18">
            <v>7</v>
          </cell>
          <cell r="D18">
            <v>10</v>
          </cell>
          <cell r="E18">
            <v>0</v>
          </cell>
          <cell r="F18">
            <v>0</v>
          </cell>
          <cell r="G18">
            <v>3</v>
          </cell>
          <cell r="H18">
            <v>1</v>
          </cell>
          <cell r="I18">
            <v>7</v>
          </cell>
          <cell r="J18">
            <v>13</v>
          </cell>
          <cell r="K18">
            <v>21</v>
          </cell>
          <cell r="L18">
            <v>2</v>
          </cell>
          <cell r="M18">
            <v>0</v>
          </cell>
          <cell r="N18">
            <v>0</v>
          </cell>
        </row>
        <row r="19">
          <cell r="B19">
            <v>34</v>
          </cell>
          <cell r="C19">
            <v>10</v>
          </cell>
          <cell r="D19">
            <v>13</v>
          </cell>
          <cell r="E19">
            <v>1</v>
          </cell>
          <cell r="F19">
            <v>0</v>
          </cell>
          <cell r="G19">
            <v>8</v>
          </cell>
          <cell r="H19">
            <v>2</v>
          </cell>
          <cell r="I19">
            <v>1</v>
          </cell>
          <cell r="J19">
            <v>14</v>
          </cell>
          <cell r="K19">
            <v>10</v>
          </cell>
          <cell r="L19">
            <v>5</v>
          </cell>
          <cell r="M19">
            <v>1</v>
          </cell>
          <cell r="N19">
            <v>0</v>
          </cell>
        </row>
        <row r="20">
          <cell r="B20">
            <v>26</v>
          </cell>
          <cell r="C20">
            <v>6</v>
          </cell>
          <cell r="D20">
            <v>6</v>
          </cell>
          <cell r="E20">
            <v>1</v>
          </cell>
          <cell r="F20">
            <v>1</v>
          </cell>
          <cell r="G20">
            <v>9</v>
          </cell>
          <cell r="H20">
            <v>1</v>
          </cell>
          <cell r="I20">
            <v>4</v>
          </cell>
          <cell r="J20">
            <v>6</v>
          </cell>
          <cell r="K20">
            <v>15</v>
          </cell>
          <cell r="L20">
            <v>7</v>
          </cell>
          <cell r="M20">
            <v>0</v>
          </cell>
          <cell r="N20">
            <v>0</v>
          </cell>
        </row>
        <row r="21">
          <cell r="B21">
            <v>17</v>
          </cell>
          <cell r="C21">
            <v>4</v>
          </cell>
          <cell r="D21">
            <v>5</v>
          </cell>
          <cell r="E21">
            <v>0</v>
          </cell>
          <cell r="F21">
            <v>0</v>
          </cell>
          <cell r="G21">
            <v>10</v>
          </cell>
          <cell r="H21">
            <v>2</v>
          </cell>
          <cell r="I21">
            <v>1</v>
          </cell>
          <cell r="J21">
            <v>4</v>
          </cell>
          <cell r="K21">
            <v>5</v>
          </cell>
          <cell r="L21">
            <v>1</v>
          </cell>
          <cell r="M21">
            <v>0</v>
          </cell>
          <cell r="N21">
            <v>0</v>
          </cell>
        </row>
        <row r="22">
          <cell r="B22">
            <v>13</v>
          </cell>
          <cell r="C22">
            <v>3</v>
          </cell>
          <cell r="D22">
            <v>7</v>
          </cell>
          <cell r="E22">
            <v>2</v>
          </cell>
          <cell r="F22">
            <v>2</v>
          </cell>
          <cell r="G22">
            <v>7</v>
          </cell>
          <cell r="H22">
            <v>1</v>
          </cell>
          <cell r="I22">
            <v>3</v>
          </cell>
          <cell r="J22">
            <v>9</v>
          </cell>
          <cell r="K22">
            <v>14</v>
          </cell>
          <cell r="L22">
            <v>4</v>
          </cell>
          <cell r="M22">
            <v>14</v>
          </cell>
          <cell r="N22">
            <v>0</v>
          </cell>
        </row>
        <row r="23">
          <cell r="B23">
            <v>14</v>
          </cell>
          <cell r="C23">
            <v>5</v>
          </cell>
          <cell r="D23">
            <v>19</v>
          </cell>
          <cell r="E23">
            <v>0</v>
          </cell>
          <cell r="F23">
            <v>4</v>
          </cell>
          <cell r="G23">
            <v>13</v>
          </cell>
          <cell r="H23">
            <v>0</v>
          </cell>
          <cell r="I23">
            <v>3</v>
          </cell>
          <cell r="J23">
            <v>12</v>
          </cell>
          <cell r="K23">
            <v>8</v>
          </cell>
          <cell r="L23">
            <v>2</v>
          </cell>
          <cell r="M23">
            <v>0</v>
          </cell>
          <cell r="N23">
            <v>0</v>
          </cell>
        </row>
        <row r="24">
          <cell r="B24">
            <v>14</v>
          </cell>
          <cell r="C24">
            <v>7</v>
          </cell>
          <cell r="D24">
            <v>21</v>
          </cell>
          <cell r="E24">
            <v>0</v>
          </cell>
          <cell r="F24">
            <v>2</v>
          </cell>
          <cell r="G24">
            <v>12</v>
          </cell>
          <cell r="H24">
            <v>0</v>
          </cell>
          <cell r="I24">
            <v>4</v>
          </cell>
          <cell r="J24">
            <v>14</v>
          </cell>
          <cell r="K24">
            <v>13</v>
          </cell>
          <cell r="L24">
            <v>4</v>
          </cell>
          <cell r="M24">
            <v>0</v>
          </cell>
          <cell r="N24">
            <v>0</v>
          </cell>
        </row>
        <row r="25">
          <cell r="B25">
            <v>13</v>
          </cell>
          <cell r="C25">
            <v>5</v>
          </cell>
          <cell r="D25">
            <v>19</v>
          </cell>
          <cell r="E25">
            <v>0</v>
          </cell>
          <cell r="F25">
            <v>1</v>
          </cell>
          <cell r="G25">
            <v>15</v>
          </cell>
          <cell r="H25">
            <v>1</v>
          </cell>
          <cell r="I25">
            <v>6</v>
          </cell>
          <cell r="J25">
            <v>16</v>
          </cell>
          <cell r="K25">
            <v>15</v>
          </cell>
          <cell r="L25">
            <v>1</v>
          </cell>
          <cell r="M25">
            <v>0</v>
          </cell>
          <cell r="N25">
            <v>0</v>
          </cell>
        </row>
        <row r="26">
          <cell r="B26">
            <v>18</v>
          </cell>
          <cell r="C26">
            <v>4</v>
          </cell>
          <cell r="D26">
            <v>21</v>
          </cell>
          <cell r="E26">
            <v>0</v>
          </cell>
          <cell r="F26">
            <v>0</v>
          </cell>
          <cell r="G26">
            <v>13</v>
          </cell>
          <cell r="H26">
            <v>2</v>
          </cell>
          <cell r="I26">
            <v>4</v>
          </cell>
          <cell r="J26">
            <v>11</v>
          </cell>
          <cell r="K26">
            <v>16</v>
          </cell>
          <cell r="L26">
            <v>5</v>
          </cell>
          <cell r="M26">
            <v>0</v>
          </cell>
          <cell r="N26">
            <v>0</v>
          </cell>
        </row>
        <row r="27">
          <cell r="B27">
            <v>25</v>
          </cell>
          <cell r="C27">
            <v>0</v>
          </cell>
          <cell r="D27">
            <v>17</v>
          </cell>
          <cell r="E27">
            <v>0</v>
          </cell>
          <cell r="F27">
            <v>1</v>
          </cell>
          <cell r="G27">
            <v>18</v>
          </cell>
          <cell r="H27">
            <v>3</v>
          </cell>
          <cell r="I27">
            <v>14</v>
          </cell>
          <cell r="J27">
            <v>11</v>
          </cell>
          <cell r="K27">
            <v>15</v>
          </cell>
          <cell r="L27">
            <v>5</v>
          </cell>
          <cell r="M27">
            <v>1</v>
          </cell>
          <cell r="N27">
            <v>0</v>
          </cell>
        </row>
        <row r="28">
          <cell r="B28">
            <v>16</v>
          </cell>
          <cell r="C28">
            <v>4</v>
          </cell>
          <cell r="D28">
            <v>13</v>
          </cell>
          <cell r="E28">
            <v>0</v>
          </cell>
          <cell r="F28">
            <v>1</v>
          </cell>
          <cell r="G28">
            <v>10</v>
          </cell>
          <cell r="H28">
            <v>3</v>
          </cell>
          <cell r="I28">
            <v>8</v>
          </cell>
          <cell r="J28">
            <v>10</v>
          </cell>
          <cell r="K28">
            <v>17</v>
          </cell>
          <cell r="L28">
            <v>11</v>
          </cell>
          <cell r="M28">
            <v>0</v>
          </cell>
          <cell r="N28">
            <v>0</v>
          </cell>
        </row>
        <row r="29">
          <cell r="B29">
            <v>19</v>
          </cell>
          <cell r="C29">
            <v>4</v>
          </cell>
          <cell r="D29">
            <v>0</v>
          </cell>
          <cell r="E29">
            <v>0</v>
          </cell>
          <cell r="F29">
            <v>2</v>
          </cell>
          <cell r="G29">
            <v>7</v>
          </cell>
          <cell r="H29">
            <v>1</v>
          </cell>
          <cell r="I29">
            <v>5</v>
          </cell>
          <cell r="J29">
            <v>6</v>
          </cell>
          <cell r="K29">
            <v>10</v>
          </cell>
          <cell r="L29">
            <v>5</v>
          </cell>
          <cell r="M29">
            <v>0</v>
          </cell>
          <cell r="N29">
            <v>0</v>
          </cell>
        </row>
        <row r="30">
          <cell r="B30">
            <v>20</v>
          </cell>
          <cell r="C30">
            <v>2</v>
          </cell>
          <cell r="D30">
            <v>10</v>
          </cell>
          <cell r="E30">
            <v>0</v>
          </cell>
          <cell r="F30">
            <v>3</v>
          </cell>
          <cell r="G30">
            <v>16</v>
          </cell>
          <cell r="H30">
            <v>0</v>
          </cell>
          <cell r="I30">
            <v>6</v>
          </cell>
          <cell r="J30">
            <v>12</v>
          </cell>
          <cell r="K30">
            <v>20</v>
          </cell>
          <cell r="L30">
            <v>6</v>
          </cell>
          <cell r="M30">
            <v>0</v>
          </cell>
          <cell r="N30">
            <v>0</v>
          </cell>
        </row>
        <row r="31">
          <cell r="B31">
            <v>15</v>
          </cell>
          <cell r="C31">
            <v>4</v>
          </cell>
          <cell r="D31">
            <v>15</v>
          </cell>
          <cell r="E31">
            <v>0</v>
          </cell>
          <cell r="F31">
            <v>2</v>
          </cell>
          <cell r="G31">
            <v>19</v>
          </cell>
          <cell r="H31">
            <v>3</v>
          </cell>
          <cell r="I31">
            <v>8</v>
          </cell>
          <cell r="J31">
            <v>12</v>
          </cell>
          <cell r="K31">
            <v>14</v>
          </cell>
          <cell r="L31">
            <v>4</v>
          </cell>
          <cell r="M31">
            <v>0</v>
          </cell>
          <cell r="N31">
            <v>0</v>
          </cell>
        </row>
        <row r="32">
          <cell r="B32">
            <v>20</v>
          </cell>
          <cell r="C32">
            <v>3</v>
          </cell>
          <cell r="D32">
            <v>17</v>
          </cell>
          <cell r="E32">
            <v>0</v>
          </cell>
          <cell r="F32">
            <v>5</v>
          </cell>
          <cell r="G32">
            <v>17</v>
          </cell>
          <cell r="H32">
            <v>2</v>
          </cell>
          <cell r="I32">
            <v>7</v>
          </cell>
          <cell r="J32">
            <v>23</v>
          </cell>
          <cell r="K32">
            <v>15</v>
          </cell>
          <cell r="L32">
            <v>2</v>
          </cell>
          <cell r="M32">
            <v>0</v>
          </cell>
          <cell r="N32">
            <v>0</v>
          </cell>
        </row>
        <row r="33">
          <cell r="B33">
            <v>20</v>
          </cell>
          <cell r="C33">
            <v>4</v>
          </cell>
          <cell r="D33">
            <v>17</v>
          </cell>
          <cell r="E33">
            <v>0</v>
          </cell>
          <cell r="F33">
            <v>2</v>
          </cell>
          <cell r="G33">
            <v>16</v>
          </cell>
          <cell r="H33">
            <v>0</v>
          </cell>
          <cell r="I33">
            <v>7</v>
          </cell>
          <cell r="J33">
            <v>13</v>
          </cell>
          <cell r="K33">
            <v>17</v>
          </cell>
          <cell r="L33">
            <v>6</v>
          </cell>
          <cell r="M33">
            <v>0</v>
          </cell>
          <cell r="N33">
            <v>0</v>
          </cell>
        </row>
        <row r="34">
          <cell r="B34">
            <v>16</v>
          </cell>
          <cell r="C34">
            <v>4</v>
          </cell>
          <cell r="D34">
            <v>18</v>
          </cell>
          <cell r="E34">
            <v>0</v>
          </cell>
          <cell r="F34">
            <v>9</v>
          </cell>
          <cell r="G34">
            <v>16</v>
          </cell>
          <cell r="H34">
            <v>0</v>
          </cell>
          <cell r="I34">
            <v>11</v>
          </cell>
          <cell r="J34">
            <v>11</v>
          </cell>
          <cell r="K34">
            <v>11</v>
          </cell>
          <cell r="L34">
            <v>5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24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8 CAIHUASI S1"/>
      <sheetName val="SENTIDO 1 CAIHUASI - CONFITAL"/>
      <sheetName val="DP6 CAIHUASI S2"/>
      <sheetName val="SENTIDO 2  CONFITAL - CAIHUASI"/>
      <sheetName val="Ambos lados"/>
    </sheetNames>
    <sheetDataSet>
      <sheetData sheetId="0">
        <row r="10">
          <cell r="B10" t="str">
            <v>AUTOMÓVILES VAGONETAS Y JEEP</v>
          </cell>
          <cell r="C10" t="str">
            <v>CAMIONETAS</v>
          </cell>
          <cell r="D10" t="str">
            <v>MINIBUSES</v>
          </cell>
          <cell r="E10" t="str">
            <v>MICROBUSES
(DOS EJES)</v>
          </cell>
          <cell r="F10" t="str">
            <v>BÚS MEDIANO
(DOS EJES)</v>
          </cell>
          <cell r="G10" t="str">
            <v>BÚS GRANDE 
(DOS O MAS EJES)</v>
          </cell>
          <cell r="H10" t="str">
            <v>CAMIÓN MEDIANO
(DOS EJES)</v>
          </cell>
          <cell r="I10" t="str">
            <v>CAMIÓN GRANDE
( DOS EJES)</v>
          </cell>
          <cell r="J10" t="str">
            <v>CAMION GRANDE
(TRES EJES)</v>
          </cell>
          <cell r="K10" t="str">
            <v>CAMIÓN CON SEMIRREMOLQUE</v>
          </cell>
          <cell r="L10" t="str">
            <v>CAMION CON
REMOLQUE</v>
          </cell>
          <cell r="M10" t="str">
            <v>MOTOCICLETAS</v>
          </cell>
          <cell r="N10" t="str">
            <v>OTROS VEHICULOS</v>
          </cell>
        </row>
        <row r="11">
          <cell r="A11" t="str">
            <v>0 - 1</v>
          </cell>
          <cell r="B11">
            <v>11</v>
          </cell>
          <cell r="C11">
            <v>3</v>
          </cell>
          <cell r="D11">
            <v>4</v>
          </cell>
          <cell r="E11">
            <v>0</v>
          </cell>
          <cell r="F11">
            <v>2</v>
          </cell>
          <cell r="G11">
            <v>20</v>
          </cell>
          <cell r="H11">
            <v>5</v>
          </cell>
          <cell r="I11">
            <v>5</v>
          </cell>
          <cell r="J11">
            <v>5</v>
          </cell>
          <cell r="K11">
            <v>8</v>
          </cell>
          <cell r="L11">
            <v>6</v>
          </cell>
          <cell r="M11">
            <v>0</v>
          </cell>
          <cell r="N11">
            <v>0</v>
          </cell>
          <cell r="O11">
            <v>69</v>
          </cell>
        </row>
        <row r="12">
          <cell r="A12" t="str">
            <v>1 - 2</v>
          </cell>
          <cell r="B12">
            <v>5</v>
          </cell>
          <cell r="C12">
            <v>2</v>
          </cell>
          <cell r="D12">
            <v>5</v>
          </cell>
          <cell r="E12">
            <v>0</v>
          </cell>
          <cell r="F12">
            <v>2</v>
          </cell>
          <cell r="G12">
            <v>26</v>
          </cell>
          <cell r="H12">
            <v>1</v>
          </cell>
          <cell r="I12">
            <v>7</v>
          </cell>
          <cell r="J12">
            <v>8</v>
          </cell>
          <cell r="K12">
            <v>9</v>
          </cell>
          <cell r="L12">
            <v>1</v>
          </cell>
          <cell r="M12">
            <v>0</v>
          </cell>
          <cell r="N12">
            <v>0</v>
          </cell>
          <cell r="O12">
            <v>66</v>
          </cell>
        </row>
        <row r="13">
          <cell r="A13" t="str">
            <v>2 - 3</v>
          </cell>
          <cell r="B13">
            <v>7</v>
          </cell>
          <cell r="C13">
            <v>1</v>
          </cell>
          <cell r="D13">
            <v>2</v>
          </cell>
          <cell r="E13">
            <v>0</v>
          </cell>
          <cell r="F13">
            <v>2</v>
          </cell>
          <cell r="G13">
            <v>14</v>
          </cell>
          <cell r="H13">
            <v>1</v>
          </cell>
          <cell r="I13">
            <v>4</v>
          </cell>
          <cell r="J13">
            <v>7</v>
          </cell>
          <cell r="K13">
            <v>3</v>
          </cell>
          <cell r="L13">
            <v>3</v>
          </cell>
          <cell r="M13">
            <v>0</v>
          </cell>
          <cell r="N13">
            <v>0</v>
          </cell>
          <cell r="O13">
            <v>44</v>
          </cell>
        </row>
        <row r="14">
          <cell r="A14" t="str">
            <v>3 - 4</v>
          </cell>
          <cell r="B14">
            <v>5</v>
          </cell>
          <cell r="C14">
            <v>0</v>
          </cell>
          <cell r="D14">
            <v>2</v>
          </cell>
          <cell r="E14">
            <v>0</v>
          </cell>
          <cell r="F14">
            <v>2</v>
          </cell>
          <cell r="G14">
            <v>26</v>
          </cell>
          <cell r="H14">
            <v>1</v>
          </cell>
          <cell r="I14">
            <v>0</v>
          </cell>
          <cell r="J14">
            <v>7</v>
          </cell>
          <cell r="K14">
            <v>25</v>
          </cell>
          <cell r="L14">
            <v>6</v>
          </cell>
          <cell r="M14">
            <v>0</v>
          </cell>
          <cell r="N14">
            <v>0</v>
          </cell>
          <cell r="O14">
            <v>74</v>
          </cell>
        </row>
        <row r="15">
          <cell r="A15" t="str">
            <v>4 - 5</v>
          </cell>
          <cell r="B15">
            <v>3</v>
          </cell>
          <cell r="C15">
            <v>1</v>
          </cell>
          <cell r="D15">
            <v>2</v>
          </cell>
          <cell r="E15">
            <v>0</v>
          </cell>
          <cell r="F15">
            <v>2</v>
          </cell>
          <cell r="G15">
            <v>19</v>
          </cell>
          <cell r="H15">
            <v>0</v>
          </cell>
          <cell r="I15">
            <v>2</v>
          </cell>
          <cell r="J15">
            <v>6</v>
          </cell>
          <cell r="K15">
            <v>16</v>
          </cell>
          <cell r="L15">
            <v>5</v>
          </cell>
          <cell r="M15">
            <v>0</v>
          </cell>
          <cell r="N15">
            <v>0</v>
          </cell>
          <cell r="O15">
            <v>56</v>
          </cell>
        </row>
        <row r="16">
          <cell r="A16" t="str">
            <v>5 - 6</v>
          </cell>
          <cell r="B16">
            <v>10</v>
          </cell>
          <cell r="C16">
            <v>1</v>
          </cell>
          <cell r="D16">
            <v>6</v>
          </cell>
          <cell r="E16">
            <v>0</v>
          </cell>
          <cell r="F16">
            <v>2</v>
          </cell>
          <cell r="G16">
            <v>26</v>
          </cell>
          <cell r="H16">
            <v>3</v>
          </cell>
          <cell r="I16">
            <v>6</v>
          </cell>
          <cell r="J16">
            <v>7</v>
          </cell>
          <cell r="K16">
            <v>21</v>
          </cell>
          <cell r="L16">
            <v>6</v>
          </cell>
          <cell r="M16">
            <v>1</v>
          </cell>
          <cell r="N16">
            <v>0</v>
          </cell>
          <cell r="O16">
            <v>89</v>
          </cell>
        </row>
        <row r="17">
          <cell r="A17" t="str">
            <v>6 - 7</v>
          </cell>
          <cell r="B17">
            <v>13</v>
          </cell>
          <cell r="C17">
            <v>6</v>
          </cell>
          <cell r="D17">
            <v>9</v>
          </cell>
          <cell r="E17">
            <v>0</v>
          </cell>
          <cell r="F17">
            <v>2</v>
          </cell>
          <cell r="G17">
            <v>7</v>
          </cell>
          <cell r="H17">
            <v>0</v>
          </cell>
          <cell r="I17">
            <v>1</v>
          </cell>
          <cell r="J17">
            <v>3</v>
          </cell>
          <cell r="K17">
            <v>14</v>
          </cell>
          <cell r="L17">
            <v>2</v>
          </cell>
          <cell r="M17">
            <v>0</v>
          </cell>
          <cell r="N17">
            <v>0</v>
          </cell>
          <cell r="O17">
            <v>57</v>
          </cell>
        </row>
        <row r="18">
          <cell r="A18" t="str">
            <v>7 - 8</v>
          </cell>
          <cell r="B18">
            <v>10</v>
          </cell>
          <cell r="C18">
            <v>3</v>
          </cell>
          <cell r="D18">
            <v>7</v>
          </cell>
          <cell r="E18">
            <v>0</v>
          </cell>
          <cell r="F18">
            <v>3</v>
          </cell>
          <cell r="G18">
            <v>2</v>
          </cell>
          <cell r="H18">
            <v>1</v>
          </cell>
          <cell r="I18">
            <v>1</v>
          </cell>
          <cell r="J18">
            <v>3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35</v>
          </cell>
        </row>
        <row r="19">
          <cell r="A19" t="str">
            <v>8 - 9</v>
          </cell>
          <cell r="B19">
            <v>21</v>
          </cell>
          <cell r="C19">
            <v>2</v>
          </cell>
          <cell r="D19">
            <v>9</v>
          </cell>
          <cell r="E19">
            <v>0</v>
          </cell>
          <cell r="F19">
            <v>1</v>
          </cell>
          <cell r="G19">
            <v>3</v>
          </cell>
          <cell r="H19">
            <v>1</v>
          </cell>
          <cell r="I19">
            <v>2</v>
          </cell>
          <cell r="J19">
            <v>5</v>
          </cell>
          <cell r="K19">
            <v>4</v>
          </cell>
          <cell r="L19">
            <v>1</v>
          </cell>
          <cell r="M19">
            <v>2</v>
          </cell>
          <cell r="N19">
            <v>0</v>
          </cell>
          <cell r="O19">
            <v>51</v>
          </cell>
        </row>
        <row r="20">
          <cell r="A20" t="str">
            <v>9 - 10</v>
          </cell>
          <cell r="B20">
            <v>30</v>
          </cell>
          <cell r="C20">
            <v>5</v>
          </cell>
          <cell r="D20">
            <v>17</v>
          </cell>
          <cell r="E20">
            <v>0</v>
          </cell>
          <cell r="F20">
            <v>1</v>
          </cell>
          <cell r="G20">
            <v>10</v>
          </cell>
          <cell r="H20">
            <v>1</v>
          </cell>
          <cell r="I20">
            <v>2</v>
          </cell>
          <cell r="J20">
            <v>3</v>
          </cell>
          <cell r="K20">
            <v>11</v>
          </cell>
          <cell r="L20">
            <v>2</v>
          </cell>
          <cell r="M20">
            <v>2</v>
          </cell>
          <cell r="N20">
            <v>0</v>
          </cell>
          <cell r="O20">
            <v>84</v>
          </cell>
        </row>
        <row r="21">
          <cell r="A21" t="str">
            <v>10 - 11</v>
          </cell>
          <cell r="B21">
            <v>25</v>
          </cell>
          <cell r="C21">
            <v>6</v>
          </cell>
          <cell r="D21">
            <v>9</v>
          </cell>
          <cell r="E21">
            <v>0</v>
          </cell>
          <cell r="F21">
            <v>1</v>
          </cell>
          <cell r="G21">
            <v>13</v>
          </cell>
          <cell r="H21">
            <v>4</v>
          </cell>
          <cell r="I21">
            <v>7</v>
          </cell>
          <cell r="J21">
            <v>9</v>
          </cell>
          <cell r="K21">
            <v>4</v>
          </cell>
          <cell r="L21">
            <v>3</v>
          </cell>
          <cell r="M21">
            <v>2</v>
          </cell>
          <cell r="N21">
            <v>0</v>
          </cell>
          <cell r="O21">
            <v>83</v>
          </cell>
        </row>
        <row r="22">
          <cell r="A22" t="str">
            <v>11 - 12</v>
          </cell>
          <cell r="B22">
            <v>39</v>
          </cell>
          <cell r="C22">
            <v>6</v>
          </cell>
          <cell r="D22">
            <v>13</v>
          </cell>
          <cell r="E22">
            <v>0</v>
          </cell>
          <cell r="F22">
            <v>1</v>
          </cell>
          <cell r="G22">
            <v>9</v>
          </cell>
          <cell r="H22">
            <v>1</v>
          </cell>
          <cell r="I22">
            <v>3</v>
          </cell>
          <cell r="J22">
            <v>4</v>
          </cell>
          <cell r="K22">
            <v>11</v>
          </cell>
          <cell r="L22">
            <v>5</v>
          </cell>
          <cell r="M22">
            <v>0</v>
          </cell>
          <cell r="N22">
            <v>0</v>
          </cell>
          <cell r="O22">
            <v>92</v>
          </cell>
        </row>
        <row r="23">
          <cell r="A23" t="str">
            <v>12 - 13</v>
          </cell>
          <cell r="B23">
            <v>27</v>
          </cell>
          <cell r="C23">
            <v>6</v>
          </cell>
          <cell r="D23">
            <v>23</v>
          </cell>
          <cell r="E23">
            <v>0</v>
          </cell>
          <cell r="F23">
            <v>2</v>
          </cell>
          <cell r="G23">
            <v>21</v>
          </cell>
          <cell r="H23">
            <v>2</v>
          </cell>
          <cell r="I23">
            <v>7</v>
          </cell>
          <cell r="J23">
            <v>14</v>
          </cell>
          <cell r="K23">
            <v>13</v>
          </cell>
          <cell r="L23">
            <v>6</v>
          </cell>
          <cell r="M23">
            <v>1</v>
          </cell>
          <cell r="N23">
            <v>0</v>
          </cell>
          <cell r="O23">
            <v>122</v>
          </cell>
        </row>
        <row r="24">
          <cell r="A24" t="str">
            <v>13 - 14</v>
          </cell>
          <cell r="B24">
            <v>24</v>
          </cell>
          <cell r="C24">
            <v>3</v>
          </cell>
          <cell r="D24">
            <v>18</v>
          </cell>
          <cell r="E24">
            <v>1</v>
          </cell>
          <cell r="F24">
            <v>4</v>
          </cell>
          <cell r="G24">
            <v>18</v>
          </cell>
          <cell r="H24">
            <v>2</v>
          </cell>
          <cell r="I24">
            <v>9</v>
          </cell>
          <cell r="J24">
            <v>7</v>
          </cell>
          <cell r="K24">
            <v>13</v>
          </cell>
          <cell r="L24">
            <v>6</v>
          </cell>
          <cell r="M24">
            <v>2</v>
          </cell>
          <cell r="N24">
            <v>0</v>
          </cell>
          <cell r="O24">
            <v>107</v>
          </cell>
        </row>
        <row r="25">
          <cell r="A25" t="str">
            <v>14 - 15</v>
          </cell>
          <cell r="B25">
            <v>20</v>
          </cell>
          <cell r="C25">
            <v>6</v>
          </cell>
          <cell r="D25">
            <v>17</v>
          </cell>
          <cell r="E25">
            <v>0</v>
          </cell>
          <cell r="F25">
            <v>3</v>
          </cell>
          <cell r="G25">
            <v>17</v>
          </cell>
          <cell r="H25">
            <v>0</v>
          </cell>
          <cell r="I25">
            <v>13</v>
          </cell>
          <cell r="J25">
            <v>12</v>
          </cell>
          <cell r="K25">
            <v>12</v>
          </cell>
          <cell r="L25">
            <v>7</v>
          </cell>
          <cell r="M25">
            <v>2</v>
          </cell>
          <cell r="N25">
            <v>0</v>
          </cell>
          <cell r="O25">
            <v>109</v>
          </cell>
        </row>
        <row r="26">
          <cell r="A26" t="str">
            <v>15 - 16</v>
          </cell>
          <cell r="B26">
            <v>20</v>
          </cell>
          <cell r="C26">
            <v>4</v>
          </cell>
          <cell r="D26">
            <v>13</v>
          </cell>
          <cell r="E26">
            <v>0</v>
          </cell>
          <cell r="F26">
            <v>2</v>
          </cell>
          <cell r="G26">
            <v>13</v>
          </cell>
          <cell r="H26">
            <v>2</v>
          </cell>
          <cell r="I26">
            <v>4</v>
          </cell>
          <cell r="J26">
            <v>15</v>
          </cell>
          <cell r="K26">
            <v>11</v>
          </cell>
          <cell r="L26">
            <v>7</v>
          </cell>
          <cell r="M26">
            <v>0</v>
          </cell>
          <cell r="N26">
            <v>0</v>
          </cell>
          <cell r="O26">
            <v>91</v>
          </cell>
        </row>
        <row r="27">
          <cell r="A27" t="str">
            <v>16 - 17</v>
          </cell>
          <cell r="B27">
            <v>17</v>
          </cell>
          <cell r="C27">
            <v>5</v>
          </cell>
          <cell r="D27">
            <v>14</v>
          </cell>
          <cell r="E27">
            <v>0</v>
          </cell>
          <cell r="F27">
            <v>3</v>
          </cell>
          <cell r="G27">
            <v>0</v>
          </cell>
          <cell r="H27">
            <v>2</v>
          </cell>
          <cell r="I27">
            <v>1</v>
          </cell>
          <cell r="J27">
            <v>15</v>
          </cell>
          <cell r="K27">
            <v>17</v>
          </cell>
          <cell r="L27">
            <v>5</v>
          </cell>
          <cell r="M27">
            <v>0</v>
          </cell>
          <cell r="N27">
            <v>0</v>
          </cell>
          <cell r="O27">
            <v>79</v>
          </cell>
        </row>
        <row r="28">
          <cell r="A28" t="str">
            <v>17 - 18</v>
          </cell>
          <cell r="B28">
            <v>14</v>
          </cell>
          <cell r="C28">
            <v>4</v>
          </cell>
          <cell r="D28">
            <v>15</v>
          </cell>
          <cell r="E28">
            <v>0</v>
          </cell>
          <cell r="F28">
            <v>2</v>
          </cell>
          <cell r="G28">
            <v>16</v>
          </cell>
          <cell r="H28">
            <v>3</v>
          </cell>
          <cell r="I28">
            <v>8</v>
          </cell>
          <cell r="J28">
            <v>13</v>
          </cell>
          <cell r="K28">
            <v>13</v>
          </cell>
          <cell r="L28">
            <v>4</v>
          </cell>
          <cell r="M28">
            <v>0</v>
          </cell>
          <cell r="N28">
            <v>0</v>
          </cell>
          <cell r="O28">
            <v>92</v>
          </cell>
        </row>
        <row r="29">
          <cell r="A29" t="str">
            <v>18 - 19</v>
          </cell>
          <cell r="B29">
            <v>20</v>
          </cell>
          <cell r="C29">
            <v>4</v>
          </cell>
          <cell r="D29">
            <v>15</v>
          </cell>
          <cell r="E29">
            <v>0</v>
          </cell>
          <cell r="F29">
            <v>2</v>
          </cell>
          <cell r="G29">
            <v>12</v>
          </cell>
          <cell r="H29">
            <v>3</v>
          </cell>
          <cell r="I29">
            <v>4</v>
          </cell>
          <cell r="J29">
            <v>14</v>
          </cell>
          <cell r="K29">
            <v>13</v>
          </cell>
          <cell r="L29">
            <v>6</v>
          </cell>
          <cell r="M29">
            <v>0</v>
          </cell>
          <cell r="N29">
            <v>0</v>
          </cell>
          <cell r="O29">
            <v>93</v>
          </cell>
        </row>
        <row r="30">
          <cell r="A30" t="str">
            <v>19 - 20</v>
          </cell>
          <cell r="B30">
            <v>22</v>
          </cell>
          <cell r="C30">
            <v>4</v>
          </cell>
          <cell r="D30">
            <v>16</v>
          </cell>
          <cell r="E30">
            <v>0</v>
          </cell>
          <cell r="F30">
            <v>1</v>
          </cell>
          <cell r="G30">
            <v>22</v>
          </cell>
          <cell r="H30">
            <v>3</v>
          </cell>
          <cell r="I30">
            <v>7</v>
          </cell>
          <cell r="J30">
            <v>23</v>
          </cell>
          <cell r="K30">
            <v>15</v>
          </cell>
          <cell r="L30">
            <v>4</v>
          </cell>
          <cell r="M30">
            <v>0</v>
          </cell>
          <cell r="N30">
            <v>0</v>
          </cell>
          <cell r="O30">
            <v>117</v>
          </cell>
        </row>
        <row r="31">
          <cell r="A31" t="str">
            <v>20 - 21</v>
          </cell>
          <cell r="B31">
            <v>21</v>
          </cell>
          <cell r="C31">
            <v>3</v>
          </cell>
          <cell r="D31">
            <v>7</v>
          </cell>
          <cell r="E31">
            <v>0</v>
          </cell>
          <cell r="F31">
            <v>2</v>
          </cell>
          <cell r="G31">
            <v>17</v>
          </cell>
          <cell r="H31">
            <v>2</v>
          </cell>
          <cell r="I31">
            <v>8</v>
          </cell>
          <cell r="J31">
            <v>19</v>
          </cell>
          <cell r="K31">
            <v>13</v>
          </cell>
          <cell r="L31">
            <v>4</v>
          </cell>
          <cell r="M31">
            <v>0</v>
          </cell>
          <cell r="N31">
            <v>0</v>
          </cell>
          <cell r="O31">
            <v>96</v>
          </cell>
        </row>
        <row r="32">
          <cell r="A32" t="str">
            <v>21 - 22</v>
          </cell>
          <cell r="B32">
            <v>13</v>
          </cell>
          <cell r="C32">
            <v>1</v>
          </cell>
          <cell r="D32">
            <v>12</v>
          </cell>
          <cell r="E32">
            <v>0</v>
          </cell>
          <cell r="F32">
            <v>2</v>
          </cell>
          <cell r="G32">
            <v>10</v>
          </cell>
          <cell r="H32">
            <v>1</v>
          </cell>
          <cell r="I32">
            <v>7</v>
          </cell>
          <cell r="J32">
            <v>12</v>
          </cell>
          <cell r="K32">
            <v>13</v>
          </cell>
          <cell r="L32">
            <v>8</v>
          </cell>
          <cell r="M32">
            <v>0</v>
          </cell>
          <cell r="N32">
            <v>0</v>
          </cell>
          <cell r="O32">
            <v>79</v>
          </cell>
        </row>
        <row r="33">
          <cell r="A33" t="str">
            <v>22 - 23</v>
          </cell>
          <cell r="B33">
            <v>9</v>
          </cell>
          <cell r="C33">
            <v>1</v>
          </cell>
          <cell r="D33">
            <v>11</v>
          </cell>
          <cell r="E33">
            <v>0</v>
          </cell>
          <cell r="F33">
            <v>4</v>
          </cell>
          <cell r="G33">
            <v>18</v>
          </cell>
          <cell r="H33">
            <v>0</v>
          </cell>
          <cell r="I33">
            <v>7</v>
          </cell>
          <cell r="J33">
            <v>11</v>
          </cell>
          <cell r="K33">
            <v>15</v>
          </cell>
          <cell r="L33">
            <v>5</v>
          </cell>
          <cell r="M33">
            <v>0</v>
          </cell>
          <cell r="N33">
            <v>0</v>
          </cell>
          <cell r="O33">
            <v>81</v>
          </cell>
        </row>
        <row r="34">
          <cell r="A34" t="str">
            <v>23 - 24</v>
          </cell>
          <cell r="B34">
            <v>3</v>
          </cell>
          <cell r="C34">
            <v>4</v>
          </cell>
          <cell r="D34">
            <v>3</v>
          </cell>
          <cell r="E34">
            <v>0</v>
          </cell>
          <cell r="F34">
            <v>5</v>
          </cell>
          <cell r="G34">
            <v>32</v>
          </cell>
          <cell r="H34">
            <v>0</v>
          </cell>
          <cell r="I34">
            <v>6</v>
          </cell>
          <cell r="J34">
            <v>15</v>
          </cell>
          <cell r="K34">
            <v>18</v>
          </cell>
          <cell r="L34">
            <v>9</v>
          </cell>
          <cell r="M34">
            <v>0</v>
          </cell>
          <cell r="N34">
            <v>0</v>
          </cell>
          <cell r="O34">
            <v>95</v>
          </cell>
        </row>
        <row r="35">
          <cell r="B35">
            <v>389</v>
          </cell>
          <cell r="C35">
            <v>81</v>
          </cell>
          <cell r="D35">
            <v>249</v>
          </cell>
          <cell r="E35">
            <v>1</v>
          </cell>
          <cell r="F35">
            <v>53</v>
          </cell>
          <cell r="G35">
            <v>371</v>
          </cell>
          <cell r="H35">
            <v>39</v>
          </cell>
          <cell r="I35">
            <v>121</v>
          </cell>
          <cell r="J35">
            <v>237</v>
          </cell>
          <cell r="K35">
            <v>295</v>
          </cell>
          <cell r="L35">
            <v>113</v>
          </cell>
          <cell r="M35">
            <v>12</v>
          </cell>
          <cell r="N35">
            <v>0</v>
          </cell>
        </row>
      </sheetData>
      <sheetData sheetId="1"/>
      <sheetData sheetId="2">
        <row r="11">
          <cell r="B11">
            <v>13</v>
          </cell>
          <cell r="C11">
            <v>7</v>
          </cell>
          <cell r="D11">
            <v>2</v>
          </cell>
          <cell r="E11">
            <v>0</v>
          </cell>
          <cell r="F11">
            <v>2</v>
          </cell>
          <cell r="G11">
            <v>16</v>
          </cell>
          <cell r="H11">
            <v>3</v>
          </cell>
          <cell r="I11">
            <v>6</v>
          </cell>
          <cell r="J11">
            <v>13</v>
          </cell>
          <cell r="K11">
            <v>13</v>
          </cell>
          <cell r="L11">
            <v>3</v>
          </cell>
          <cell r="M11">
            <v>0</v>
          </cell>
          <cell r="N11">
            <v>0</v>
          </cell>
        </row>
        <row r="12">
          <cell r="B12">
            <v>5</v>
          </cell>
          <cell r="C12">
            <v>1</v>
          </cell>
          <cell r="D12">
            <v>4</v>
          </cell>
          <cell r="E12">
            <v>0</v>
          </cell>
          <cell r="F12">
            <v>2</v>
          </cell>
          <cell r="G12">
            <v>28</v>
          </cell>
          <cell r="H12">
            <v>1</v>
          </cell>
          <cell r="I12">
            <v>8</v>
          </cell>
          <cell r="J12">
            <v>12</v>
          </cell>
          <cell r="K12">
            <v>9</v>
          </cell>
          <cell r="L12">
            <v>4</v>
          </cell>
          <cell r="M12">
            <v>0</v>
          </cell>
          <cell r="N12">
            <v>0</v>
          </cell>
        </row>
        <row r="13">
          <cell r="B13">
            <v>3</v>
          </cell>
          <cell r="C13">
            <v>1</v>
          </cell>
          <cell r="D13">
            <v>4</v>
          </cell>
          <cell r="E13">
            <v>0</v>
          </cell>
          <cell r="F13">
            <v>3</v>
          </cell>
          <cell r="G13">
            <v>26</v>
          </cell>
          <cell r="H13">
            <v>3</v>
          </cell>
          <cell r="I13">
            <v>11</v>
          </cell>
          <cell r="J13">
            <v>16</v>
          </cell>
          <cell r="K13">
            <v>9</v>
          </cell>
          <cell r="L13">
            <v>5</v>
          </cell>
          <cell r="M13">
            <v>0</v>
          </cell>
          <cell r="N13">
            <v>0</v>
          </cell>
        </row>
        <row r="14">
          <cell r="B14">
            <v>4</v>
          </cell>
          <cell r="C14">
            <v>1</v>
          </cell>
          <cell r="D14">
            <v>3</v>
          </cell>
          <cell r="E14">
            <v>0</v>
          </cell>
          <cell r="F14">
            <v>2</v>
          </cell>
          <cell r="G14">
            <v>20</v>
          </cell>
          <cell r="H14">
            <v>0</v>
          </cell>
          <cell r="I14">
            <v>4</v>
          </cell>
          <cell r="J14">
            <v>0</v>
          </cell>
          <cell r="K14">
            <v>22</v>
          </cell>
          <cell r="L14">
            <v>1</v>
          </cell>
          <cell r="M14">
            <v>0</v>
          </cell>
          <cell r="N14">
            <v>0</v>
          </cell>
        </row>
        <row r="15">
          <cell r="B15">
            <v>4</v>
          </cell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13</v>
          </cell>
          <cell r="H15">
            <v>0</v>
          </cell>
          <cell r="I15">
            <v>5</v>
          </cell>
          <cell r="J15">
            <v>8</v>
          </cell>
          <cell r="K15">
            <v>20</v>
          </cell>
          <cell r="L15">
            <v>3</v>
          </cell>
          <cell r="M15">
            <v>0</v>
          </cell>
          <cell r="N15">
            <v>0</v>
          </cell>
        </row>
        <row r="16">
          <cell r="B16">
            <v>7</v>
          </cell>
          <cell r="C16">
            <v>3</v>
          </cell>
          <cell r="D16">
            <v>8</v>
          </cell>
          <cell r="E16">
            <v>0</v>
          </cell>
          <cell r="F16">
            <v>3</v>
          </cell>
          <cell r="G16">
            <v>30</v>
          </cell>
          <cell r="H16">
            <v>2</v>
          </cell>
          <cell r="I16">
            <v>4</v>
          </cell>
          <cell r="J16">
            <v>8</v>
          </cell>
          <cell r="K16">
            <v>17</v>
          </cell>
          <cell r="L16">
            <v>7</v>
          </cell>
          <cell r="M16">
            <v>2</v>
          </cell>
          <cell r="N16">
            <v>0</v>
          </cell>
        </row>
        <row r="17">
          <cell r="B17">
            <v>9</v>
          </cell>
          <cell r="C17">
            <v>3</v>
          </cell>
          <cell r="D17">
            <v>15</v>
          </cell>
          <cell r="E17">
            <v>0</v>
          </cell>
          <cell r="F17">
            <v>0</v>
          </cell>
          <cell r="G17">
            <v>4</v>
          </cell>
          <cell r="H17">
            <v>0</v>
          </cell>
          <cell r="I17">
            <v>4</v>
          </cell>
          <cell r="J17">
            <v>7</v>
          </cell>
          <cell r="K17">
            <v>14</v>
          </cell>
          <cell r="L17">
            <v>3</v>
          </cell>
          <cell r="M17">
            <v>0</v>
          </cell>
          <cell r="N17">
            <v>0</v>
          </cell>
        </row>
        <row r="18">
          <cell r="B18">
            <v>26</v>
          </cell>
          <cell r="C18">
            <v>5</v>
          </cell>
          <cell r="D18">
            <v>17</v>
          </cell>
          <cell r="E18">
            <v>0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6</v>
          </cell>
          <cell r="K18">
            <v>13</v>
          </cell>
          <cell r="L18">
            <v>3</v>
          </cell>
          <cell r="M18">
            <v>0</v>
          </cell>
          <cell r="N18">
            <v>0</v>
          </cell>
        </row>
        <row r="19">
          <cell r="B19">
            <v>57</v>
          </cell>
          <cell r="C19">
            <v>4</v>
          </cell>
          <cell r="D19">
            <v>16</v>
          </cell>
          <cell r="E19">
            <v>0</v>
          </cell>
          <cell r="F19">
            <v>1</v>
          </cell>
          <cell r="G19">
            <v>9</v>
          </cell>
          <cell r="H19">
            <v>1</v>
          </cell>
          <cell r="I19">
            <v>0</v>
          </cell>
          <cell r="J19">
            <v>9</v>
          </cell>
          <cell r="K19">
            <v>4</v>
          </cell>
          <cell r="L19">
            <v>2</v>
          </cell>
          <cell r="M19">
            <v>0</v>
          </cell>
          <cell r="N19">
            <v>0</v>
          </cell>
        </row>
        <row r="20">
          <cell r="B20">
            <v>28</v>
          </cell>
          <cell r="C20">
            <v>10</v>
          </cell>
          <cell r="D20">
            <v>14</v>
          </cell>
          <cell r="E20">
            <v>0</v>
          </cell>
          <cell r="F20">
            <v>1</v>
          </cell>
          <cell r="G20">
            <v>8</v>
          </cell>
          <cell r="H20">
            <v>0</v>
          </cell>
          <cell r="I20">
            <v>2</v>
          </cell>
          <cell r="J20">
            <v>8</v>
          </cell>
          <cell r="K20">
            <v>5</v>
          </cell>
          <cell r="L20">
            <v>4</v>
          </cell>
          <cell r="M20">
            <v>1</v>
          </cell>
          <cell r="N20">
            <v>0</v>
          </cell>
        </row>
        <row r="21">
          <cell r="B21">
            <v>27</v>
          </cell>
          <cell r="C21">
            <v>8</v>
          </cell>
          <cell r="D21">
            <v>15</v>
          </cell>
          <cell r="E21">
            <v>0</v>
          </cell>
          <cell r="F21">
            <v>2</v>
          </cell>
          <cell r="G21">
            <v>10</v>
          </cell>
          <cell r="H21">
            <v>4</v>
          </cell>
          <cell r="I21">
            <v>10</v>
          </cell>
          <cell r="J21">
            <v>9</v>
          </cell>
          <cell r="K21">
            <v>9</v>
          </cell>
          <cell r="L21">
            <v>9</v>
          </cell>
          <cell r="M21">
            <v>2</v>
          </cell>
          <cell r="N21">
            <v>0</v>
          </cell>
        </row>
        <row r="22">
          <cell r="B22">
            <v>33</v>
          </cell>
          <cell r="C22">
            <v>5</v>
          </cell>
          <cell r="D22">
            <v>18</v>
          </cell>
          <cell r="E22">
            <v>0</v>
          </cell>
          <cell r="F22">
            <v>2</v>
          </cell>
          <cell r="G22">
            <v>14</v>
          </cell>
          <cell r="H22">
            <v>2</v>
          </cell>
          <cell r="I22">
            <v>3</v>
          </cell>
          <cell r="J22">
            <v>8</v>
          </cell>
          <cell r="K22">
            <v>10</v>
          </cell>
          <cell r="L22">
            <v>5</v>
          </cell>
          <cell r="M22">
            <v>2</v>
          </cell>
          <cell r="N22">
            <v>0</v>
          </cell>
        </row>
        <row r="23">
          <cell r="B23">
            <v>16</v>
          </cell>
          <cell r="C23">
            <v>3</v>
          </cell>
          <cell r="D23">
            <v>20</v>
          </cell>
          <cell r="E23">
            <v>1</v>
          </cell>
          <cell r="F23">
            <v>2</v>
          </cell>
          <cell r="G23">
            <v>19</v>
          </cell>
          <cell r="H23">
            <v>3</v>
          </cell>
          <cell r="I23">
            <v>8</v>
          </cell>
          <cell r="J23">
            <v>15</v>
          </cell>
          <cell r="K23">
            <v>17</v>
          </cell>
          <cell r="L23">
            <v>6</v>
          </cell>
          <cell r="M23">
            <v>3</v>
          </cell>
          <cell r="N23">
            <v>0</v>
          </cell>
        </row>
        <row r="24">
          <cell r="B24">
            <v>22</v>
          </cell>
          <cell r="C24">
            <v>4</v>
          </cell>
          <cell r="D24">
            <v>21</v>
          </cell>
          <cell r="E24">
            <v>0</v>
          </cell>
          <cell r="F24">
            <v>5</v>
          </cell>
          <cell r="G24">
            <v>17</v>
          </cell>
          <cell r="H24">
            <v>3</v>
          </cell>
          <cell r="I24">
            <v>10</v>
          </cell>
          <cell r="J24">
            <v>10</v>
          </cell>
          <cell r="K24">
            <v>13</v>
          </cell>
          <cell r="L24">
            <v>5</v>
          </cell>
          <cell r="M24">
            <v>2</v>
          </cell>
          <cell r="N24">
            <v>0</v>
          </cell>
        </row>
        <row r="25">
          <cell r="B25">
            <v>16</v>
          </cell>
          <cell r="C25">
            <v>2</v>
          </cell>
          <cell r="D25">
            <v>21</v>
          </cell>
          <cell r="E25">
            <v>0</v>
          </cell>
          <cell r="F25">
            <v>1</v>
          </cell>
          <cell r="G25">
            <v>14</v>
          </cell>
          <cell r="H25">
            <v>4</v>
          </cell>
          <cell r="I25">
            <v>9</v>
          </cell>
          <cell r="J25">
            <v>11</v>
          </cell>
          <cell r="K25">
            <v>11</v>
          </cell>
          <cell r="L25">
            <v>5</v>
          </cell>
          <cell r="M25">
            <v>1</v>
          </cell>
          <cell r="N25">
            <v>0</v>
          </cell>
        </row>
        <row r="26">
          <cell r="B26">
            <v>12</v>
          </cell>
          <cell r="C26">
            <v>5</v>
          </cell>
          <cell r="D26">
            <v>15</v>
          </cell>
          <cell r="E26">
            <v>0</v>
          </cell>
          <cell r="F26">
            <v>6</v>
          </cell>
          <cell r="G26">
            <v>8</v>
          </cell>
          <cell r="H26">
            <v>0</v>
          </cell>
          <cell r="I26">
            <v>1</v>
          </cell>
          <cell r="J26">
            <v>11</v>
          </cell>
          <cell r="K26">
            <v>13</v>
          </cell>
          <cell r="L26">
            <v>4</v>
          </cell>
          <cell r="M26">
            <v>0</v>
          </cell>
          <cell r="N26">
            <v>0</v>
          </cell>
        </row>
        <row r="27">
          <cell r="B27">
            <v>15</v>
          </cell>
          <cell r="C27">
            <v>2</v>
          </cell>
          <cell r="D27">
            <v>18</v>
          </cell>
          <cell r="E27">
            <v>0</v>
          </cell>
          <cell r="F27">
            <v>2</v>
          </cell>
          <cell r="G27">
            <v>0</v>
          </cell>
          <cell r="H27">
            <v>5</v>
          </cell>
          <cell r="I27">
            <v>2</v>
          </cell>
          <cell r="J27">
            <v>12</v>
          </cell>
          <cell r="K27">
            <v>13</v>
          </cell>
          <cell r="L27">
            <v>3</v>
          </cell>
          <cell r="M27">
            <v>0</v>
          </cell>
          <cell r="N27">
            <v>0</v>
          </cell>
        </row>
        <row r="28">
          <cell r="B28">
            <v>16</v>
          </cell>
          <cell r="C28">
            <v>5</v>
          </cell>
          <cell r="D28">
            <v>18</v>
          </cell>
          <cell r="E28">
            <v>0</v>
          </cell>
          <cell r="F28">
            <v>2</v>
          </cell>
          <cell r="G28">
            <v>9</v>
          </cell>
          <cell r="H28">
            <v>1</v>
          </cell>
          <cell r="I28">
            <v>6</v>
          </cell>
          <cell r="J28">
            <v>6</v>
          </cell>
          <cell r="K28">
            <v>10</v>
          </cell>
          <cell r="L28">
            <v>2</v>
          </cell>
          <cell r="M28">
            <v>0</v>
          </cell>
          <cell r="N28">
            <v>0</v>
          </cell>
        </row>
        <row r="29">
          <cell r="B29">
            <v>23</v>
          </cell>
          <cell r="C29">
            <v>4</v>
          </cell>
          <cell r="D29">
            <v>2</v>
          </cell>
          <cell r="E29">
            <v>0</v>
          </cell>
          <cell r="F29">
            <v>1</v>
          </cell>
          <cell r="G29">
            <v>11</v>
          </cell>
          <cell r="H29">
            <v>1</v>
          </cell>
          <cell r="I29">
            <v>4</v>
          </cell>
          <cell r="J29">
            <v>5</v>
          </cell>
          <cell r="K29">
            <v>14</v>
          </cell>
          <cell r="L29">
            <v>7</v>
          </cell>
          <cell r="M29">
            <v>0</v>
          </cell>
          <cell r="N29">
            <v>0</v>
          </cell>
        </row>
        <row r="30">
          <cell r="B30">
            <v>21</v>
          </cell>
          <cell r="C30">
            <v>2</v>
          </cell>
          <cell r="D30">
            <v>10</v>
          </cell>
          <cell r="E30">
            <v>0</v>
          </cell>
          <cell r="F30">
            <v>2</v>
          </cell>
          <cell r="G30">
            <v>15</v>
          </cell>
          <cell r="H30">
            <v>2</v>
          </cell>
          <cell r="I30">
            <v>8</v>
          </cell>
          <cell r="J30">
            <v>15</v>
          </cell>
          <cell r="K30">
            <v>13</v>
          </cell>
          <cell r="L30">
            <v>5</v>
          </cell>
          <cell r="M30">
            <v>0</v>
          </cell>
          <cell r="N30">
            <v>0</v>
          </cell>
        </row>
        <row r="31">
          <cell r="B31">
            <v>16</v>
          </cell>
          <cell r="C31">
            <v>3</v>
          </cell>
          <cell r="D31">
            <v>12</v>
          </cell>
          <cell r="E31">
            <v>0</v>
          </cell>
          <cell r="F31">
            <v>1</v>
          </cell>
          <cell r="G31">
            <v>16</v>
          </cell>
          <cell r="H31">
            <v>0</v>
          </cell>
          <cell r="I31">
            <v>11</v>
          </cell>
          <cell r="J31">
            <v>13</v>
          </cell>
          <cell r="K31">
            <v>15</v>
          </cell>
          <cell r="L31">
            <v>5</v>
          </cell>
          <cell r="M31">
            <v>0</v>
          </cell>
          <cell r="N31">
            <v>0</v>
          </cell>
        </row>
        <row r="32">
          <cell r="B32">
            <v>14</v>
          </cell>
          <cell r="C32">
            <v>0</v>
          </cell>
          <cell r="D32">
            <v>9</v>
          </cell>
          <cell r="E32">
            <v>0</v>
          </cell>
          <cell r="F32">
            <v>2</v>
          </cell>
          <cell r="G32">
            <v>15</v>
          </cell>
          <cell r="H32">
            <v>0</v>
          </cell>
          <cell r="I32">
            <v>4</v>
          </cell>
          <cell r="J32">
            <v>12</v>
          </cell>
          <cell r="K32">
            <v>13</v>
          </cell>
          <cell r="L32">
            <v>7</v>
          </cell>
          <cell r="M32">
            <v>0</v>
          </cell>
          <cell r="N32">
            <v>0</v>
          </cell>
        </row>
        <row r="33">
          <cell r="B33">
            <v>9</v>
          </cell>
          <cell r="C33">
            <v>5</v>
          </cell>
          <cell r="D33">
            <v>7</v>
          </cell>
          <cell r="E33">
            <v>0</v>
          </cell>
          <cell r="F33">
            <v>6</v>
          </cell>
          <cell r="G33">
            <v>29</v>
          </cell>
          <cell r="H33">
            <v>1</v>
          </cell>
          <cell r="I33">
            <v>8</v>
          </cell>
          <cell r="J33">
            <v>15</v>
          </cell>
          <cell r="K33">
            <v>13</v>
          </cell>
          <cell r="L33">
            <v>8</v>
          </cell>
          <cell r="M33">
            <v>0</v>
          </cell>
          <cell r="N33">
            <v>0</v>
          </cell>
        </row>
        <row r="34">
          <cell r="B34">
            <v>5</v>
          </cell>
          <cell r="C34">
            <v>4</v>
          </cell>
          <cell r="D34">
            <v>9</v>
          </cell>
          <cell r="E34">
            <v>0</v>
          </cell>
          <cell r="F34">
            <v>3</v>
          </cell>
          <cell r="G34">
            <v>29</v>
          </cell>
          <cell r="H34">
            <v>0</v>
          </cell>
          <cell r="I34">
            <v>6</v>
          </cell>
          <cell r="J34">
            <v>10</v>
          </cell>
          <cell r="K34">
            <v>22</v>
          </cell>
          <cell r="L34">
            <v>12</v>
          </cell>
          <cell r="M34">
            <v>0</v>
          </cell>
          <cell r="N34">
            <v>0</v>
          </cell>
        </row>
      </sheetData>
      <sheetData sheetId="3"/>
      <sheetData sheetId="4">
        <row r="11">
          <cell r="B11">
            <v>24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DO"/>
      <sheetName val="vpth"/>
      <sheetName val="PROYECCION"/>
      <sheetName val="TPDA (2)"/>
      <sheetName val="TPDA"/>
      <sheetName val="EE1"/>
      <sheetName val="EE"/>
      <sheetName val="EE1 (2)"/>
    </sheetNames>
    <sheetDataSet>
      <sheetData sheetId="0">
        <row r="36">
          <cell r="B36">
            <v>956.57142857142856</v>
          </cell>
          <cell r="C36">
            <v>168.42857142857142</v>
          </cell>
          <cell r="D36">
            <v>531.28571428571433</v>
          </cell>
          <cell r="E36">
            <v>3.2857142857142856</v>
          </cell>
          <cell r="F36">
            <v>85</v>
          </cell>
          <cell r="G36">
            <v>585.71428571428567</v>
          </cell>
          <cell r="H36">
            <v>55.714285714285715</v>
          </cell>
          <cell r="I36">
            <v>234.57142857142858</v>
          </cell>
          <cell r="J36">
            <v>393</v>
          </cell>
          <cell r="K36">
            <v>520.14285714285711</v>
          </cell>
          <cell r="L36">
            <v>149.57142857142858</v>
          </cell>
          <cell r="M36">
            <v>20.857142857142858</v>
          </cell>
        </row>
        <row r="52">
          <cell r="B52">
            <v>0.25824366539396043</v>
          </cell>
          <cell r="C52">
            <v>4.5470322804581735E-2</v>
          </cell>
          <cell r="D52">
            <v>0.14343013614100042</v>
          </cell>
          <cell r="E52">
            <v>8.8703767981796432E-4</v>
          </cell>
          <cell r="F52">
            <v>2.2947279108334297E-2</v>
          </cell>
          <cell r="G52">
            <v>0.15812410814146322</v>
          </cell>
          <cell r="H52">
            <v>1.5041073701261136E-2</v>
          </cell>
          <cell r="I52">
            <v>6.332677696787381E-2</v>
          </cell>
          <cell r="J52">
            <v>0.10609741987735739</v>
          </cell>
          <cell r="K52">
            <v>0.14042192140074819</v>
          </cell>
          <cell r="L52">
            <v>4.0379497859539516E-2</v>
          </cell>
          <cell r="M52">
            <v>5.6307609240618612E-3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0F99-8E75-40D9-9705-064BF75CE71D}">
  <dimension ref="A1:P42"/>
  <sheetViews>
    <sheetView topLeftCell="A34" workbookViewId="0">
      <selection activeCell="B38" sqref="B38"/>
    </sheetView>
  </sheetViews>
  <sheetFormatPr baseColWidth="10" defaultColWidth="11.5703125" defaultRowHeight="15" x14ac:dyDescent="0.25"/>
  <cols>
    <col min="1" max="1" width="13.7109375" style="57" bestFit="1" customWidth="1"/>
    <col min="2" max="2" width="7.42578125" style="57" bestFit="1" customWidth="1"/>
    <col min="3" max="3" width="12" style="57" bestFit="1" customWidth="1"/>
    <col min="4" max="6" width="7.28515625" style="57" bestFit="1" customWidth="1"/>
    <col min="7" max="7" width="8" style="57" bestFit="1" customWidth="1"/>
    <col min="8" max="8" width="7.7109375" style="57" bestFit="1" customWidth="1"/>
    <col min="9" max="13" width="7.28515625" style="57" bestFit="1" customWidth="1"/>
    <col min="14" max="14" width="8" style="57" customWidth="1"/>
    <col min="15" max="15" width="12" style="57" bestFit="1" customWidth="1"/>
    <col min="16" max="16384" width="11.5703125" style="57"/>
  </cols>
  <sheetData>
    <row r="1" spans="1:15" ht="74.25" customHeight="1" thickTop="1" x14ac:dyDescent="0.25">
      <c r="A1" s="67"/>
      <c r="B1" s="45" t="s">
        <v>11</v>
      </c>
      <c r="C1" s="45" t="s">
        <v>12</v>
      </c>
      <c r="D1" s="45" t="s">
        <v>13</v>
      </c>
      <c r="E1" s="45" t="s">
        <v>14</v>
      </c>
      <c r="F1" s="45" t="s">
        <v>15</v>
      </c>
      <c r="G1" s="45" t="s">
        <v>16</v>
      </c>
      <c r="H1" s="45" t="s">
        <v>17</v>
      </c>
      <c r="I1" s="45" t="s">
        <v>18</v>
      </c>
      <c r="J1" s="45" t="s">
        <v>19</v>
      </c>
      <c r="K1" s="45" t="s">
        <v>20</v>
      </c>
      <c r="L1" s="45" t="s">
        <v>21</v>
      </c>
      <c r="M1" s="45" t="s">
        <v>22</v>
      </c>
      <c r="N1" s="45" t="s">
        <v>23</v>
      </c>
      <c r="O1" s="68" t="s">
        <v>24</v>
      </c>
    </row>
    <row r="2" spans="1:15" ht="15.75" x14ac:dyDescent="0.25">
      <c r="A2" s="69" t="s">
        <v>92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>
        <f t="shared" ref="O2:O8" si="0">SUM(B2:N2)</f>
        <v>0</v>
      </c>
    </row>
    <row r="3" spans="1:15" ht="15.75" x14ac:dyDescent="0.25">
      <c r="A3" s="69" t="s">
        <v>93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>
        <f t="shared" si="0"/>
        <v>0</v>
      </c>
    </row>
    <row r="4" spans="1:15" ht="15.75" x14ac:dyDescent="0.25">
      <c r="A4" s="69" t="s">
        <v>94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>
        <f t="shared" si="0"/>
        <v>0</v>
      </c>
    </row>
    <row r="5" spans="1:15" ht="15.75" x14ac:dyDescent="0.25">
      <c r="A5" s="69" t="s">
        <v>95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>
        <f t="shared" si="0"/>
        <v>0</v>
      </c>
    </row>
    <row r="6" spans="1:15" ht="15.75" x14ac:dyDescent="0.25">
      <c r="A6" s="69" t="s">
        <v>96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>
        <f t="shared" si="0"/>
        <v>0</v>
      </c>
    </row>
    <row r="7" spans="1:15" ht="15.75" x14ac:dyDescent="0.25">
      <c r="A7" s="69" t="s">
        <v>97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>
        <f t="shared" si="0"/>
        <v>0</v>
      </c>
    </row>
    <row r="8" spans="1:15" ht="15.75" x14ac:dyDescent="0.25">
      <c r="A8" s="69" t="s">
        <v>98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>
        <f t="shared" si="0"/>
        <v>0</v>
      </c>
    </row>
    <row r="9" spans="1:15" ht="15.75" x14ac:dyDescent="0.25">
      <c r="A9" s="72" t="s">
        <v>24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1">
        <f>SUM(O2:O8)</f>
        <v>0</v>
      </c>
    </row>
    <row r="10" spans="1:15" ht="16.5" customHeight="1" x14ac:dyDescent="0.25">
      <c r="A10" s="73" t="s">
        <v>99</v>
      </c>
      <c r="B10" s="74">
        <f t="shared" ref="B10:N10" si="1">SUM(B2:B8)/7</f>
        <v>0</v>
      </c>
      <c r="C10" s="74">
        <f t="shared" si="1"/>
        <v>0</v>
      </c>
      <c r="D10" s="74">
        <f t="shared" si="1"/>
        <v>0</v>
      </c>
      <c r="E10" s="74">
        <f t="shared" si="1"/>
        <v>0</v>
      </c>
      <c r="F10" s="74">
        <f t="shared" si="1"/>
        <v>0</v>
      </c>
      <c r="G10" s="74">
        <f t="shared" si="1"/>
        <v>0</v>
      </c>
      <c r="H10" s="74">
        <f t="shared" si="1"/>
        <v>0</v>
      </c>
      <c r="I10" s="74">
        <f t="shared" si="1"/>
        <v>0</v>
      </c>
      <c r="J10" s="74">
        <f t="shared" si="1"/>
        <v>0</v>
      </c>
      <c r="K10" s="74">
        <f t="shared" si="1"/>
        <v>0</v>
      </c>
      <c r="L10" s="74">
        <f t="shared" si="1"/>
        <v>0</v>
      </c>
      <c r="M10" s="74">
        <f t="shared" si="1"/>
        <v>0</v>
      </c>
      <c r="N10" s="74">
        <f t="shared" si="1"/>
        <v>0</v>
      </c>
      <c r="O10" s="75">
        <f>O9/7</f>
        <v>0</v>
      </c>
    </row>
    <row r="11" spans="1:15" ht="8.25" customHeight="1" x14ac:dyDescent="0.25"/>
    <row r="12" spans="1:15" ht="8.25" customHeight="1" x14ac:dyDescent="0.25"/>
    <row r="13" spans="1:15" ht="8.25" customHeight="1" thickBot="1" x14ac:dyDescent="0.3"/>
    <row r="14" spans="1:15" ht="75" thickTop="1" x14ac:dyDescent="0.25">
      <c r="A14" s="67"/>
      <c r="B14" s="45" t="s">
        <v>11</v>
      </c>
      <c r="C14" s="45" t="s">
        <v>12</v>
      </c>
      <c r="D14" s="45" t="s">
        <v>13</v>
      </c>
      <c r="E14" s="45" t="s">
        <v>14</v>
      </c>
      <c r="F14" s="45" t="s">
        <v>15</v>
      </c>
      <c r="G14" s="45" t="s">
        <v>16</v>
      </c>
      <c r="H14" s="45" t="s">
        <v>17</v>
      </c>
      <c r="I14" s="45" t="s">
        <v>18</v>
      </c>
      <c r="J14" s="45" t="s">
        <v>19</v>
      </c>
      <c r="K14" s="45" t="s">
        <v>20</v>
      </c>
      <c r="L14" s="45" t="s">
        <v>21</v>
      </c>
      <c r="M14" s="45" t="s">
        <v>22</v>
      </c>
      <c r="N14" s="45" t="s">
        <v>23</v>
      </c>
      <c r="O14" s="68" t="s">
        <v>24</v>
      </c>
    </row>
    <row r="15" spans="1:15" ht="15.75" x14ac:dyDescent="0.25">
      <c r="A15" s="69" t="s">
        <v>92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1">
        <f>SUM(B15:N15)</f>
        <v>0</v>
      </c>
    </row>
    <row r="16" spans="1:15" ht="15.75" x14ac:dyDescent="0.25">
      <c r="A16" s="69" t="s">
        <v>93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>
        <f t="shared" ref="O16:O21" si="2">SUM(B16:N16)</f>
        <v>0</v>
      </c>
    </row>
    <row r="17" spans="1:16" ht="15.75" x14ac:dyDescent="0.25">
      <c r="A17" s="69" t="s">
        <v>94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1">
        <f t="shared" si="2"/>
        <v>0</v>
      </c>
    </row>
    <row r="18" spans="1:16" ht="15.75" x14ac:dyDescent="0.25">
      <c r="A18" s="69" t="s">
        <v>95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>
        <f t="shared" si="2"/>
        <v>0</v>
      </c>
    </row>
    <row r="19" spans="1:16" ht="15.75" x14ac:dyDescent="0.25">
      <c r="A19" s="69" t="s">
        <v>96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>
        <f t="shared" si="2"/>
        <v>0</v>
      </c>
    </row>
    <row r="20" spans="1:16" ht="15.75" x14ac:dyDescent="0.25">
      <c r="A20" s="69" t="s">
        <v>97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>
        <f t="shared" si="2"/>
        <v>0</v>
      </c>
    </row>
    <row r="21" spans="1:16" ht="15.75" x14ac:dyDescent="0.25">
      <c r="A21" s="69" t="s">
        <v>98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1">
        <f t="shared" si="2"/>
        <v>0</v>
      </c>
    </row>
    <row r="22" spans="1:16" ht="15.75" x14ac:dyDescent="0.25">
      <c r="A22" s="69" t="s">
        <v>24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1">
        <f>SUM(O15:O21)</f>
        <v>0</v>
      </c>
    </row>
    <row r="23" spans="1:16" ht="15.75" x14ac:dyDescent="0.25">
      <c r="A23" s="73" t="s">
        <v>99</v>
      </c>
      <c r="B23" s="74">
        <f>SUM(B15:B21)/7</f>
        <v>0</v>
      </c>
      <c r="C23" s="74">
        <f t="shared" ref="C23:N23" si="3">SUM(C15:C21)/7</f>
        <v>0</v>
      </c>
      <c r="D23" s="74">
        <f t="shared" si="3"/>
        <v>0</v>
      </c>
      <c r="E23" s="74">
        <f t="shared" si="3"/>
        <v>0</v>
      </c>
      <c r="F23" s="74">
        <f t="shared" si="3"/>
        <v>0</v>
      </c>
      <c r="G23" s="74">
        <f t="shared" si="3"/>
        <v>0</v>
      </c>
      <c r="H23" s="74">
        <f t="shared" si="3"/>
        <v>0</v>
      </c>
      <c r="I23" s="74">
        <f t="shared" si="3"/>
        <v>0</v>
      </c>
      <c r="J23" s="74">
        <f t="shared" si="3"/>
        <v>0</v>
      </c>
      <c r="K23" s="74">
        <f t="shared" si="3"/>
        <v>0</v>
      </c>
      <c r="L23" s="74">
        <f t="shared" si="3"/>
        <v>0</v>
      </c>
      <c r="M23" s="74">
        <f t="shared" si="3"/>
        <v>0</v>
      </c>
      <c r="N23" s="74">
        <f t="shared" si="3"/>
        <v>0</v>
      </c>
      <c r="O23" s="71">
        <f>O22/7</f>
        <v>0</v>
      </c>
      <c r="P23" s="75"/>
    </row>
    <row r="26" spans="1:16" ht="15.75" thickBot="1" x14ac:dyDescent="0.3"/>
    <row r="27" spans="1:16" ht="75" thickTop="1" x14ac:dyDescent="0.25">
      <c r="A27" s="67"/>
      <c r="B27" s="45" t="s">
        <v>11</v>
      </c>
      <c r="C27" s="45" t="s">
        <v>12</v>
      </c>
      <c r="D27" s="45" t="s">
        <v>13</v>
      </c>
      <c r="E27" s="45" t="s">
        <v>14</v>
      </c>
      <c r="F27" s="45" t="s">
        <v>15</v>
      </c>
      <c r="G27" s="45" t="s">
        <v>16</v>
      </c>
      <c r="H27" s="45" t="s">
        <v>17</v>
      </c>
      <c r="I27" s="45" t="s">
        <v>18</v>
      </c>
      <c r="J27" s="45" t="s">
        <v>19</v>
      </c>
      <c r="K27" s="45" t="s">
        <v>20</v>
      </c>
      <c r="L27" s="45" t="s">
        <v>21</v>
      </c>
      <c r="M27" s="45" t="s">
        <v>22</v>
      </c>
      <c r="N27" s="45" t="s">
        <v>23</v>
      </c>
      <c r="O27" s="68" t="s">
        <v>24</v>
      </c>
    </row>
    <row r="28" spans="1:16" ht="15.75" x14ac:dyDescent="0.25">
      <c r="A28" s="69" t="s">
        <v>92</v>
      </c>
      <c r="B28" s="70">
        <f>B2+B15</f>
        <v>0</v>
      </c>
      <c r="C28" s="70">
        <f t="shared" ref="C28:N28" si="4">C2+C15</f>
        <v>0</v>
      </c>
      <c r="D28" s="70">
        <f t="shared" si="4"/>
        <v>0</v>
      </c>
      <c r="E28" s="70">
        <f t="shared" si="4"/>
        <v>0</v>
      </c>
      <c r="F28" s="70">
        <f t="shared" si="4"/>
        <v>0</v>
      </c>
      <c r="G28" s="70">
        <f t="shared" si="4"/>
        <v>0</v>
      </c>
      <c r="H28" s="70">
        <f t="shared" si="4"/>
        <v>0</v>
      </c>
      <c r="I28" s="70">
        <f t="shared" si="4"/>
        <v>0</v>
      </c>
      <c r="J28" s="70">
        <f t="shared" si="4"/>
        <v>0</v>
      </c>
      <c r="K28" s="70">
        <f t="shared" si="4"/>
        <v>0</v>
      </c>
      <c r="L28" s="70">
        <f t="shared" si="4"/>
        <v>0</v>
      </c>
      <c r="M28" s="70">
        <f t="shared" si="4"/>
        <v>0</v>
      </c>
      <c r="N28" s="70">
        <f t="shared" si="4"/>
        <v>0</v>
      </c>
      <c r="O28" s="71">
        <f>SUM(B28:N28)</f>
        <v>0</v>
      </c>
    </row>
    <row r="29" spans="1:16" ht="15.75" x14ac:dyDescent="0.25">
      <c r="A29" s="69" t="s">
        <v>93</v>
      </c>
      <c r="B29" s="70">
        <f t="shared" ref="B29:N34" si="5">B3+B16</f>
        <v>0</v>
      </c>
      <c r="C29" s="70">
        <f t="shared" si="5"/>
        <v>0</v>
      </c>
      <c r="D29" s="70">
        <f t="shared" si="5"/>
        <v>0</v>
      </c>
      <c r="E29" s="70">
        <f t="shared" si="5"/>
        <v>0</v>
      </c>
      <c r="F29" s="70">
        <f t="shared" si="5"/>
        <v>0</v>
      </c>
      <c r="G29" s="70">
        <f t="shared" si="5"/>
        <v>0</v>
      </c>
      <c r="H29" s="70">
        <f t="shared" si="5"/>
        <v>0</v>
      </c>
      <c r="I29" s="70">
        <f t="shared" si="5"/>
        <v>0</v>
      </c>
      <c r="J29" s="70">
        <f t="shared" si="5"/>
        <v>0</v>
      </c>
      <c r="K29" s="70">
        <f t="shared" si="5"/>
        <v>0</v>
      </c>
      <c r="L29" s="70">
        <f t="shared" si="5"/>
        <v>0</v>
      </c>
      <c r="M29" s="70">
        <f t="shared" si="5"/>
        <v>0</v>
      </c>
      <c r="N29" s="70">
        <f t="shared" si="5"/>
        <v>0</v>
      </c>
      <c r="O29" s="71">
        <f t="shared" ref="O29:O34" si="6">SUM(B29:N29)</f>
        <v>0</v>
      </c>
    </row>
    <row r="30" spans="1:16" ht="15.75" x14ac:dyDescent="0.25">
      <c r="A30" s="69" t="s">
        <v>94</v>
      </c>
      <c r="B30" s="70">
        <f t="shared" si="5"/>
        <v>0</v>
      </c>
      <c r="C30" s="70">
        <f t="shared" si="5"/>
        <v>0</v>
      </c>
      <c r="D30" s="70">
        <f t="shared" si="5"/>
        <v>0</v>
      </c>
      <c r="E30" s="70">
        <f t="shared" si="5"/>
        <v>0</v>
      </c>
      <c r="F30" s="70">
        <f t="shared" si="5"/>
        <v>0</v>
      </c>
      <c r="G30" s="70">
        <f t="shared" si="5"/>
        <v>0</v>
      </c>
      <c r="H30" s="70">
        <f t="shared" si="5"/>
        <v>0</v>
      </c>
      <c r="I30" s="70">
        <f t="shared" si="5"/>
        <v>0</v>
      </c>
      <c r="J30" s="70">
        <f t="shared" si="5"/>
        <v>0</v>
      </c>
      <c r="K30" s="70">
        <f t="shared" si="5"/>
        <v>0</v>
      </c>
      <c r="L30" s="70">
        <f t="shared" si="5"/>
        <v>0</v>
      </c>
      <c r="M30" s="70">
        <f t="shared" si="5"/>
        <v>0</v>
      </c>
      <c r="N30" s="70">
        <f t="shared" si="5"/>
        <v>0</v>
      </c>
      <c r="O30" s="71">
        <f t="shared" si="6"/>
        <v>0</v>
      </c>
    </row>
    <row r="31" spans="1:16" ht="15.75" x14ac:dyDescent="0.25">
      <c r="A31" s="69" t="s">
        <v>95</v>
      </c>
      <c r="B31" s="70">
        <f t="shared" si="5"/>
        <v>0</v>
      </c>
      <c r="C31" s="70">
        <f t="shared" si="5"/>
        <v>0</v>
      </c>
      <c r="D31" s="70">
        <f t="shared" si="5"/>
        <v>0</v>
      </c>
      <c r="E31" s="70">
        <f t="shared" si="5"/>
        <v>0</v>
      </c>
      <c r="F31" s="70">
        <f t="shared" si="5"/>
        <v>0</v>
      </c>
      <c r="G31" s="70">
        <f t="shared" si="5"/>
        <v>0</v>
      </c>
      <c r="H31" s="70">
        <f t="shared" si="5"/>
        <v>0</v>
      </c>
      <c r="I31" s="70">
        <f t="shared" si="5"/>
        <v>0</v>
      </c>
      <c r="J31" s="70">
        <f t="shared" si="5"/>
        <v>0</v>
      </c>
      <c r="K31" s="70">
        <f t="shared" si="5"/>
        <v>0</v>
      </c>
      <c r="L31" s="70">
        <f t="shared" si="5"/>
        <v>0</v>
      </c>
      <c r="M31" s="70">
        <f t="shared" si="5"/>
        <v>0</v>
      </c>
      <c r="N31" s="70">
        <f t="shared" si="5"/>
        <v>0</v>
      </c>
      <c r="O31" s="71">
        <f t="shared" si="6"/>
        <v>0</v>
      </c>
    </row>
    <row r="32" spans="1:16" ht="15.75" x14ac:dyDescent="0.25">
      <c r="A32" s="69" t="s">
        <v>96</v>
      </c>
      <c r="B32" s="70">
        <f t="shared" si="5"/>
        <v>0</v>
      </c>
      <c r="C32" s="70">
        <f t="shared" si="5"/>
        <v>0</v>
      </c>
      <c r="D32" s="70">
        <f t="shared" si="5"/>
        <v>0</v>
      </c>
      <c r="E32" s="70">
        <f t="shared" si="5"/>
        <v>0</v>
      </c>
      <c r="F32" s="70">
        <f t="shared" si="5"/>
        <v>0</v>
      </c>
      <c r="G32" s="70">
        <f t="shared" si="5"/>
        <v>0</v>
      </c>
      <c r="H32" s="70">
        <f t="shared" si="5"/>
        <v>0</v>
      </c>
      <c r="I32" s="70">
        <f t="shared" si="5"/>
        <v>0</v>
      </c>
      <c r="J32" s="70">
        <f t="shared" si="5"/>
        <v>0</v>
      </c>
      <c r="K32" s="70">
        <f t="shared" si="5"/>
        <v>0</v>
      </c>
      <c r="L32" s="70">
        <f t="shared" si="5"/>
        <v>0</v>
      </c>
      <c r="M32" s="70">
        <f t="shared" si="5"/>
        <v>0</v>
      </c>
      <c r="N32" s="70">
        <f t="shared" si="5"/>
        <v>0</v>
      </c>
      <c r="O32" s="71">
        <f t="shared" si="6"/>
        <v>0</v>
      </c>
    </row>
    <row r="33" spans="1:16" ht="15.75" x14ac:dyDescent="0.25">
      <c r="A33" s="69" t="s">
        <v>97</v>
      </c>
      <c r="B33" s="70">
        <f t="shared" si="5"/>
        <v>0</v>
      </c>
      <c r="C33" s="70">
        <f t="shared" si="5"/>
        <v>0</v>
      </c>
      <c r="D33" s="70">
        <f t="shared" si="5"/>
        <v>0</v>
      </c>
      <c r="E33" s="70">
        <f t="shared" si="5"/>
        <v>0</v>
      </c>
      <c r="F33" s="70">
        <f t="shared" si="5"/>
        <v>0</v>
      </c>
      <c r="G33" s="70">
        <f t="shared" si="5"/>
        <v>0</v>
      </c>
      <c r="H33" s="70">
        <f t="shared" si="5"/>
        <v>0</v>
      </c>
      <c r="I33" s="70">
        <f t="shared" si="5"/>
        <v>0</v>
      </c>
      <c r="J33" s="70">
        <f t="shared" si="5"/>
        <v>0</v>
      </c>
      <c r="K33" s="70">
        <f t="shared" si="5"/>
        <v>0</v>
      </c>
      <c r="L33" s="70">
        <f t="shared" si="5"/>
        <v>0</v>
      </c>
      <c r="M33" s="70">
        <f t="shared" si="5"/>
        <v>0</v>
      </c>
      <c r="N33" s="70">
        <f t="shared" si="5"/>
        <v>0</v>
      </c>
      <c r="O33" s="71">
        <f t="shared" si="6"/>
        <v>0</v>
      </c>
    </row>
    <row r="34" spans="1:16" ht="15.75" x14ac:dyDescent="0.25">
      <c r="A34" s="69" t="s">
        <v>98</v>
      </c>
      <c r="B34" s="70">
        <f t="shared" si="5"/>
        <v>0</v>
      </c>
      <c r="C34" s="70">
        <f t="shared" si="5"/>
        <v>0</v>
      </c>
      <c r="D34" s="70">
        <f t="shared" si="5"/>
        <v>0</v>
      </c>
      <c r="E34" s="70">
        <f t="shared" si="5"/>
        <v>0</v>
      </c>
      <c r="F34" s="70">
        <f t="shared" si="5"/>
        <v>0</v>
      </c>
      <c r="G34" s="70">
        <f t="shared" si="5"/>
        <v>0</v>
      </c>
      <c r="H34" s="70">
        <f t="shared" si="5"/>
        <v>0</v>
      </c>
      <c r="I34" s="70">
        <f t="shared" si="5"/>
        <v>0</v>
      </c>
      <c r="J34" s="70">
        <f t="shared" si="5"/>
        <v>0</v>
      </c>
      <c r="K34" s="70">
        <f t="shared" si="5"/>
        <v>0</v>
      </c>
      <c r="L34" s="70">
        <f t="shared" si="5"/>
        <v>0</v>
      </c>
      <c r="M34" s="70">
        <f t="shared" si="5"/>
        <v>0</v>
      </c>
      <c r="N34" s="70">
        <f t="shared" si="5"/>
        <v>0</v>
      </c>
      <c r="O34" s="71">
        <f t="shared" si="6"/>
        <v>0</v>
      </c>
    </row>
    <row r="35" spans="1:16" ht="15.75" x14ac:dyDescent="0.25">
      <c r="A35" s="69" t="s">
        <v>24</v>
      </c>
      <c r="B35" s="70">
        <f>SUM(B28:B34)</f>
        <v>0</v>
      </c>
      <c r="C35" s="70">
        <f t="shared" ref="C35:N35" si="7">SUM(C28:C34)</f>
        <v>0</v>
      </c>
      <c r="D35" s="70">
        <f t="shared" si="7"/>
        <v>0</v>
      </c>
      <c r="E35" s="70">
        <f t="shared" si="7"/>
        <v>0</v>
      </c>
      <c r="F35" s="70">
        <f t="shared" si="7"/>
        <v>0</v>
      </c>
      <c r="G35" s="70">
        <f t="shared" si="7"/>
        <v>0</v>
      </c>
      <c r="H35" s="70">
        <f t="shared" si="7"/>
        <v>0</v>
      </c>
      <c r="I35" s="70">
        <f t="shared" si="7"/>
        <v>0</v>
      </c>
      <c r="J35" s="70">
        <f t="shared" si="7"/>
        <v>0</v>
      </c>
      <c r="K35" s="70">
        <f t="shared" si="7"/>
        <v>0</v>
      </c>
      <c r="L35" s="70">
        <f t="shared" si="7"/>
        <v>0</v>
      </c>
      <c r="M35" s="70">
        <f t="shared" si="7"/>
        <v>0</v>
      </c>
      <c r="N35" s="70">
        <f t="shared" si="7"/>
        <v>0</v>
      </c>
      <c r="O35" s="71">
        <f>SUM(O28:O34)</f>
        <v>0</v>
      </c>
    </row>
    <row r="36" spans="1:16" ht="15.75" x14ac:dyDescent="0.25">
      <c r="A36" s="73" t="s">
        <v>99</v>
      </c>
      <c r="B36" s="74">
        <f>SUM(B28:B34)/7</f>
        <v>0</v>
      </c>
      <c r="C36" s="74">
        <f t="shared" ref="C36:N36" si="8">SUM(C28:C34)/7</f>
        <v>0</v>
      </c>
      <c r="D36" s="74">
        <f t="shared" si="8"/>
        <v>0</v>
      </c>
      <c r="E36" s="74">
        <f t="shared" si="8"/>
        <v>0</v>
      </c>
      <c r="F36" s="74">
        <f t="shared" si="8"/>
        <v>0</v>
      </c>
      <c r="G36" s="74">
        <f t="shared" si="8"/>
        <v>0</v>
      </c>
      <c r="H36" s="74">
        <f t="shared" si="8"/>
        <v>0</v>
      </c>
      <c r="I36" s="74">
        <f t="shared" si="8"/>
        <v>0</v>
      </c>
      <c r="J36" s="74">
        <f t="shared" si="8"/>
        <v>0</v>
      </c>
      <c r="K36" s="74">
        <f t="shared" si="8"/>
        <v>0</v>
      </c>
      <c r="L36" s="74">
        <f t="shared" si="8"/>
        <v>0</v>
      </c>
      <c r="M36" s="74">
        <f t="shared" si="8"/>
        <v>0</v>
      </c>
      <c r="N36" s="74">
        <f t="shared" si="8"/>
        <v>0</v>
      </c>
      <c r="O36" s="71">
        <f>O35/7</f>
        <v>0</v>
      </c>
      <c r="P36" s="75"/>
    </row>
    <row r="38" spans="1:16" x14ac:dyDescent="0.25">
      <c r="B38" s="57" t="e">
        <f>B36/O36</f>
        <v>#DIV/0!</v>
      </c>
    </row>
    <row r="41" spans="1:16" x14ac:dyDescent="0.25"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</row>
    <row r="42" spans="1:16" x14ac:dyDescent="0.25"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opLeftCell="A5" workbookViewId="0">
      <selection activeCell="A10" sqref="A10:P10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63"/>
      <c r="T3" s="63"/>
      <c r="U3" s="63"/>
      <c r="V3" s="63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'[1]DP8 CAIHUASI S1'!B11+'[1]DP6 CAIHUASI S2'!B11</f>
        <v>11</v>
      </c>
      <c r="C11" s="17">
        <f>'[1]DP8 CAIHUASI S1'!C11+'[1]DP6 CAIHUASI S2'!C11</f>
        <v>2</v>
      </c>
      <c r="D11" s="17">
        <f>'[1]DP8 CAIHUASI S1'!D11+'[1]DP6 CAIHUASI S2'!D11</f>
        <v>9</v>
      </c>
      <c r="E11" s="17">
        <f>'[1]DP8 CAIHUASI S1'!E11+'[1]DP6 CAIHUASI S2'!E11</f>
        <v>0</v>
      </c>
      <c r="F11" s="17">
        <f>'[1]DP8 CAIHUASI S1'!F11+'[1]DP6 CAIHUASI S2'!F11</f>
        <v>0</v>
      </c>
      <c r="G11" s="17">
        <f>'[1]DP8 CAIHUASI S1'!G11+'[1]DP6 CAIHUASI S2'!G11</f>
        <v>23</v>
      </c>
      <c r="H11" s="17">
        <f>'[1]DP8 CAIHUASI S1'!H11+'[1]DP6 CAIHUASI S2'!H11</f>
        <v>0</v>
      </c>
      <c r="I11" s="17">
        <f>'[1]DP8 CAIHUASI S1'!I11+'[1]DP6 CAIHUASI S2'!I11</f>
        <v>0</v>
      </c>
      <c r="J11" s="17">
        <f>'[1]DP8 CAIHUASI S1'!J11+'[1]DP6 CAIHUASI S2'!J11</f>
        <v>19</v>
      </c>
      <c r="K11" s="17">
        <f>'[1]DP8 CAIHUASI S1'!K11+'[1]DP6 CAIHUASI S2'!K11</f>
        <v>22</v>
      </c>
      <c r="L11" s="17">
        <f>'[1]DP8 CAIHUASI S1'!L11+'[1]DP6 CAIHUASI S2'!L11</f>
        <v>7</v>
      </c>
      <c r="M11" s="17">
        <f>'[1]DP8 CAIHUASI S1'!M11+'[1]DP6 CAIHUASI S2'!M11</f>
        <v>0</v>
      </c>
      <c r="N11" s="17">
        <f>'[1]DP8 CAIHUASI S1'!N11+'[1]DP6 CAIHUASI S2'!N11</f>
        <v>0</v>
      </c>
      <c r="O11" s="17">
        <f t="shared" ref="O11:O34" si="0">SUM(B11:N11)</f>
        <v>93</v>
      </c>
      <c r="P11" s="18">
        <f t="shared" ref="P11:P34" si="1">O11/$O$35</f>
        <v>2.4720893141945772E-2</v>
      </c>
    </row>
    <row r="12" spans="1:32" ht="17.25" customHeight="1" x14ac:dyDescent="0.25">
      <c r="A12" s="19" t="s">
        <v>27</v>
      </c>
      <c r="B12" s="17">
        <f>'[1]DP8 CAIHUASI S1'!B12+'[1]DP6 CAIHUASI S2'!B12</f>
        <v>7</v>
      </c>
      <c r="C12" s="17">
        <f>'[1]DP8 CAIHUASI S1'!C12+'[1]DP6 CAIHUASI S2'!C12</f>
        <v>0</v>
      </c>
      <c r="D12" s="17">
        <f>'[1]DP8 CAIHUASI S1'!D12+'[1]DP6 CAIHUASI S2'!D12</f>
        <v>18</v>
      </c>
      <c r="E12" s="17">
        <f>'[1]DP8 CAIHUASI S1'!E12+'[1]DP6 CAIHUASI S2'!E12</f>
        <v>0</v>
      </c>
      <c r="F12" s="17">
        <f>'[1]DP8 CAIHUASI S1'!F12+'[1]DP6 CAIHUASI S2'!F12</f>
        <v>0</v>
      </c>
      <c r="G12" s="17">
        <f>'[1]DP8 CAIHUASI S1'!G12+'[1]DP6 CAIHUASI S2'!G12</f>
        <v>22</v>
      </c>
      <c r="H12" s="17">
        <f>'[1]DP8 CAIHUASI S1'!H12+'[1]DP6 CAIHUASI S2'!H12</f>
        <v>0</v>
      </c>
      <c r="I12" s="17">
        <f>'[1]DP8 CAIHUASI S1'!I12+'[1]DP6 CAIHUASI S2'!I12</f>
        <v>0</v>
      </c>
      <c r="J12" s="17">
        <f>'[1]DP8 CAIHUASI S1'!J12+'[1]DP6 CAIHUASI S2'!J12</f>
        <v>15</v>
      </c>
      <c r="K12" s="17">
        <f>'[1]DP8 CAIHUASI S1'!K12+'[1]DP6 CAIHUASI S2'!K12</f>
        <v>18</v>
      </c>
      <c r="L12" s="17">
        <f>'[1]DP8 CAIHUASI S1'!L12+'[1]DP6 CAIHUASI S2'!L12</f>
        <v>10</v>
      </c>
      <c r="M12" s="17">
        <f>'[1]DP8 CAIHUASI S1'!M12+'[1]DP6 CAIHUASI S2'!M12</f>
        <v>0</v>
      </c>
      <c r="N12" s="17">
        <f>'[1]DP8 CAIHUASI S1'!N12+'[1]DP6 CAIHUASI S2'!N12</f>
        <v>0</v>
      </c>
      <c r="O12" s="17">
        <f t="shared" si="0"/>
        <v>90</v>
      </c>
      <c r="P12" s="18">
        <f t="shared" si="1"/>
        <v>2.3923444976076555E-2</v>
      </c>
    </row>
    <row r="13" spans="1:32" ht="17.25" customHeight="1" x14ac:dyDescent="0.25">
      <c r="A13" s="19" t="s">
        <v>28</v>
      </c>
      <c r="B13" s="17">
        <f>'[1]DP8 CAIHUASI S1'!B13+'[1]DP6 CAIHUASI S2'!B13</f>
        <v>13</v>
      </c>
      <c r="C13" s="17">
        <f>'[1]DP8 CAIHUASI S1'!C13+'[1]DP6 CAIHUASI S2'!C13</f>
        <v>0</v>
      </c>
      <c r="D13" s="17">
        <f>'[1]DP8 CAIHUASI S1'!D13+'[1]DP6 CAIHUASI S2'!D13</f>
        <v>12</v>
      </c>
      <c r="E13" s="17">
        <f>'[1]DP8 CAIHUASI S1'!E13+'[1]DP6 CAIHUASI S2'!E13</f>
        <v>0</v>
      </c>
      <c r="F13" s="17">
        <f>'[1]DP8 CAIHUASI S1'!F13+'[1]DP6 CAIHUASI S2'!F13</f>
        <v>0</v>
      </c>
      <c r="G13" s="17">
        <f>'[1]DP8 CAIHUASI S1'!G13+'[1]DP6 CAIHUASI S2'!G13</f>
        <v>19</v>
      </c>
      <c r="H13" s="17">
        <f>'[1]DP8 CAIHUASI S1'!H13+'[1]DP6 CAIHUASI S2'!H13</f>
        <v>0</v>
      </c>
      <c r="I13" s="17">
        <f>'[1]DP8 CAIHUASI S1'!I13+'[1]DP6 CAIHUASI S2'!I13</f>
        <v>2</v>
      </c>
      <c r="J13" s="17">
        <f>'[1]DP8 CAIHUASI S1'!J13+'[1]DP6 CAIHUASI S2'!J13</f>
        <v>20</v>
      </c>
      <c r="K13" s="17">
        <f>'[1]DP8 CAIHUASI S1'!K13+'[1]DP6 CAIHUASI S2'!K13</f>
        <v>21</v>
      </c>
      <c r="L13" s="17">
        <f>'[1]DP8 CAIHUASI S1'!L13+'[1]DP6 CAIHUASI S2'!L13</f>
        <v>6</v>
      </c>
      <c r="M13" s="17">
        <f>'[1]DP8 CAIHUASI S1'!M13+'[1]DP6 CAIHUASI S2'!M13</f>
        <v>0</v>
      </c>
      <c r="N13" s="17">
        <f>'[1]DP8 CAIHUASI S1'!N13+'[1]DP6 CAIHUASI S2'!N13</f>
        <v>0</v>
      </c>
      <c r="O13" s="17">
        <f t="shared" si="0"/>
        <v>93</v>
      </c>
      <c r="P13" s="18">
        <f t="shared" si="1"/>
        <v>2.4720893141945772E-2</v>
      </c>
    </row>
    <row r="14" spans="1:32" ht="17.25" customHeight="1" x14ac:dyDescent="0.25">
      <c r="A14" s="19" t="s">
        <v>29</v>
      </c>
      <c r="B14" s="17">
        <f>'[1]DP8 CAIHUASI S1'!B14+'[1]DP6 CAIHUASI S2'!B14</f>
        <v>15</v>
      </c>
      <c r="C14" s="17">
        <f>'[1]DP8 CAIHUASI S1'!C14+'[1]DP6 CAIHUASI S2'!C14</f>
        <v>3</v>
      </c>
      <c r="D14" s="17">
        <f>'[1]DP8 CAIHUASI S1'!D14+'[1]DP6 CAIHUASI S2'!D14</f>
        <v>7</v>
      </c>
      <c r="E14" s="17">
        <f>'[1]DP8 CAIHUASI S1'!E14+'[1]DP6 CAIHUASI S2'!E14</f>
        <v>0</v>
      </c>
      <c r="F14" s="17">
        <f>'[1]DP8 CAIHUASI S1'!F14+'[1]DP6 CAIHUASI S2'!F14</f>
        <v>7</v>
      </c>
      <c r="G14" s="17">
        <f>'[1]DP8 CAIHUASI S1'!G14+'[1]DP6 CAIHUASI S2'!G14</f>
        <v>29</v>
      </c>
      <c r="H14" s="17">
        <f>'[1]DP8 CAIHUASI S1'!H14+'[1]DP6 CAIHUASI S2'!H14</f>
        <v>4</v>
      </c>
      <c r="I14" s="17">
        <f>'[1]DP8 CAIHUASI S1'!I14+'[1]DP6 CAIHUASI S2'!I14</f>
        <v>6</v>
      </c>
      <c r="J14" s="17">
        <f>'[1]DP8 CAIHUASI S1'!J14+'[1]DP6 CAIHUASI S2'!J14</f>
        <v>10</v>
      </c>
      <c r="K14" s="17">
        <f>'[1]DP8 CAIHUASI S1'!K14+'[1]DP6 CAIHUASI S2'!K14</f>
        <v>14</v>
      </c>
      <c r="L14" s="17">
        <f>'[1]DP8 CAIHUASI S1'!L14+'[1]DP6 CAIHUASI S2'!L14</f>
        <v>8</v>
      </c>
      <c r="M14" s="17">
        <f>'[1]DP8 CAIHUASI S1'!M14+'[1]DP6 CAIHUASI S2'!M14</f>
        <v>0</v>
      </c>
      <c r="N14" s="17">
        <f>'[1]DP8 CAIHUASI S1'!N14+'[1]DP6 CAIHUASI S2'!N14</f>
        <v>0</v>
      </c>
      <c r="O14" s="17">
        <f t="shared" si="0"/>
        <v>103</v>
      </c>
      <c r="P14" s="18">
        <f t="shared" si="1"/>
        <v>2.737905369484317E-2</v>
      </c>
    </row>
    <row r="15" spans="1:32" ht="17.25" customHeight="1" x14ac:dyDescent="0.25">
      <c r="A15" s="19" t="s">
        <v>30</v>
      </c>
      <c r="B15" s="17">
        <f>'[1]DP8 CAIHUASI S1'!B15+'[1]DP6 CAIHUASI S2'!B15</f>
        <v>15</v>
      </c>
      <c r="C15" s="17">
        <f>'[1]DP8 CAIHUASI S1'!C15+'[1]DP6 CAIHUASI S2'!C15</f>
        <v>4</v>
      </c>
      <c r="D15" s="17">
        <f>'[1]DP8 CAIHUASI S1'!D15+'[1]DP6 CAIHUASI S2'!D15</f>
        <v>5</v>
      </c>
      <c r="E15" s="17">
        <f>'[1]DP8 CAIHUASI S1'!E15+'[1]DP6 CAIHUASI S2'!E15</f>
        <v>0</v>
      </c>
      <c r="F15" s="17">
        <f>'[1]DP8 CAIHUASI S1'!F15+'[1]DP6 CAIHUASI S2'!F15</f>
        <v>3</v>
      </c>
      <c r="G15" s="17">
        <f>'[1]DP8 CAIHUASI S1'!G15+'[1]DP6 CAIHUASI S2'!G15</f>
        <v>20</v>
      </c>
      <c r="H15" s="17">
        <f>'[1]DP8 CAIHUASI S1'!H15+'[1]DP6 CAIHUASI S2'!H15</f>
        <v>3</v>
      </c>
      <c r="I15" s="17">
        <f>'[1]DP8 CAIHUASI S1'!I15+'[1]DP6 CAIHUASI S2'!I15</f>
        <v>8</v>
      </c>
      <c r="J15" s="17">
        <f>'[1]DP8 CAIHUASI S1'!J15+'[1]DP6 CAIHUASI S2'!J15</f>
        <v>13</v>
      </c>
      <c r="K15" s="17">
        <f>'[1]DP8 CAIHUASI S1'!K15+'[1]DP6 CAIHUASI S2'!K15</f>
        <v>16</v>
      </c>
      <c r="L15" s="17">
        <f>'[1]DP8 CAIHUASI S1'!L15+'[1]DP6 CAIHUASI S2'!L15</f>
        <v>9</v>
      </c>
      <c r="M15" s="17">
        <f>'[1]DP8 CAIHUASI S1'!M15+'[1]DP6 CAIHUASI S2'!M15</f>
        <v>0</v>
      </c>
      <c r="N15" s="17">
        <f>'[1]DP8 CAIHUASI S1'!N15+'[1]DP6 CAIHUASI S2'!N15</f>
        <v>0</v>
      </c>
      <c r="O15" s="17">
        <f t="shared" si="0"/>
        <v>96</v>
      </c>
      <c r="P15" s="18">
        <f t="shared" si="1"/>
        <v>2.5518341307814992E-2</v>
      </c>
    </row>
    <row r="16" spans="1:32" ht="17.25" customHeight="1" x14ac:dyDescent="0.25">
      <c r="A16" s="19" t="s">
        <v>31</v>
      </c>
      <c r="B16" s="17">
        <f>'[1]DP8 CAIHUASI S1'!B16+'[1]DP6 CAIHUASI S2'!B16</f>
        <v>31</v>
      </c>
      <c r="C16" s="17">
        <f>'[1]DP8 CAIHUASI S1'!C16+'[1]DP6 CAIHUASI S2'!C16</f>
        <v>9</v>
      </c>
      <c r="D16" s="17">
        <f>'[1]DP8 CAIHUASI S1'!D16+'[1]DP6 CAIHUASI S2'!D16</f>
        <v>21</v>
      </c>
      <c r="E16" s="17">
        <f>'[1]DP8 CAIHUASI S1'!E16+'[1]DP6 CAIHUASI S2'!E16</f>
        <v>0</v>
      </c>
      <c r="F16" s="17">
        <f>'[1]DP8 CAIHUASI S1'!F16+'[1]DP6 CAIHUASI S2'!F16</f>
        <v>3</v>
      </c>
      <c r="G16" s="17">
        <f>'[1]DP8 CAIHUASI S1'!G16+'[1]DP6 CAIHUASI S2'!G16</f>
        <v>16</v>
      </c>
      <c r="H16" s="17">
        <f>'[1]DP8 CAIHUASI S1'!H16+'[1]DP6 CAIHUASI S2'!H16</f>
        <v>11</v>
      </c>
      <c r="I16" s="17">
        <f>'[1]DP8 CAIHUASI S1'!I16+'[1]DP6 CAIHUASI S2'!I16</f>
        <v>10</v>
      </c>
      <c r="J16" s="17">
        <f>'[1]DP8 CAIHUASI S1'!J16+'[1]DP6 CAIHUASI S2'!J16</f>
        <v>15</v>
      </c>
      <c r="K16" s="17">
        <f>'[1]DP8 CAIHUASI S1'!K16+'[1]DP6 CAIHUASI S2'!K16</f>
        <v>24</v>
      </c>
      <c r="L16" s="17">
        <f>'[1]DP8 CAIHUASI S1'!L16+'[1]DP6 CAIHUASI S2'!L16</f>
        <v>21</v>
      </c>
      <c r="M16" s="17">
        <f>'[1]DP8 CAIHUASI S1'!M16+'[1]DP6 CAIHUASI S2'!M16</f>
        <v>0</v>
      </c>
      <c r="N16" s="17">
        <f>'[1]DP8 CAIHUASI S1'!N16+'[1]DP6 CAIHUASI S2'!N16</f>
        <v>0</v>
      </c>
      <c r="O16" s="17">
        <f t="shared" si="0"/>
        <v>161</v>
      </c>
      <c r="P16" s="18">
        <f t="shared" si="1"/>
        <v>4.2796384901648062E-2</v>
      </c>
    </row>
    <row r="17" spans="1:16" ht="17.25" customHeight="1" x14ac:dyDescent="0.25">
      <c r="A17" s="19" t="s">
        <v>32</v>
      </c>
      <c r="B17" s="17">
        <f>'[1]DP8 CAIHUASI S1'!B17+'[1]DP6 CAIHUASI S2'!B17</f>
        <v>40</v>
      </c>
      <c r="C17" s="17">
        <f>'[1]DP8 CAIHUASI S1'!C17+'[1]DP6 CAIHUASI S2'!C17</f>
        <v>5</v>
      </c>
      <c r="D17" s="17">
        <f>'[1]DP8 CAIHUASI S1'!D17+'[1]DP6 CAIHUASI S2'!D17</f>
        <v>40</v>
      </c>
      <c r="E17" s="17">
        <f>'[1]DP8 CAIHUASI S1'!E17+'[1]DP6 CAIHUASI S2'!E17</f>
        <v>1</v>
      </c>
      <c r="F17" s="17">
        <f>'[1]DP8 CAIHUASI S1'!F17+'[1]DP6 CAIHUASI S2'!F17</f>
        <v>6</v>
      </c>
      <c r="G17" s="17">
        <f>'[1]DP8 CAIHUASI S1'!G17+'[1]DP6 CAIHUASI S2'!G17</f>
        <v>26</v>
      </c>
      <c r="H17" s="17">
        <f>'[1]DP8 CAIHUASI S1'!H17+'[1]DP6 CAIHUASI S2'!H17</f>
        <v>2</v>
      </c>
      <c r="I17" s="17">
        <f>'[1]DP8 CAIHUASI S1'!I17+'[1]DP6 CAIHUASI S2'!I17</f>
        <v>12</v>
      </c>
      <c r="J17" s="17">
        <f>'[1]DP8 CAIHUASI S1'!J17+'[1]DP6 CAIHUASI S2'!J17</f>
        <v>21</v>
      </c>
      <c r="K17" s="17">
        <f>'[1]DP8 CAIHUASI S1'!K17+'[1]DP6 CAIHUASI S2'!K17</f>
        <v>21</v>
      </c>
      <c r="L17" s="17">
        <f>'[1]DP8 CAIHUASI S1'!L17+'[1]DP6 CAIHUASI S2'!L17</f>
        <v>10</v>
      </c>
      <c r="M17" s="17">
        <f>'[1]DP8 CAIHUASI S1'!M17+'[1]DP6 CAIHUASI S2'!M17</f>
        <v>1</v>
      </c>
      <c r="N17" s="17">
        <f>'[1]DP8 CAIHUASI S1'!N17+'[1]DP6 CAIHUASI S2'!N17</f>
        <v>0</v>
      </c>
      <c r="O17" s="17">
        <f t="shared" si="0"/>
        <v>185</v>
      </c>
      <c r="P17" s="18">
        <f t="shared" si="1"/>
        <v>4.917597022860181E-2</v>
      </c>
    </row>
    <row r="18" spans="1:16" ht="17.25" customHeight="1" x14ac:dyDescent="0.25">
      <c r="A18" s="19" t="s">
        <v>33</v>
      </c>
      <c r="B18" s="17">
        <f>'[1]DP8 CAIHUASI S1'!B18+'[1]DP6 CAIHUASI S2'!B18</f>
        <v>43</v>
      </c>
      <c r="C18" s="17">
        <f>'[1]DP8 CAIHUASI S1'!C18+'[1]DP6 CAIHUASI S2'!C18</f>
        <v>11</v>
      </c>
      <c r="D18" s="17">
        <f>'[1]DP8 CAIHUASI S1'!D18+'[1]DP6 CAIHUASI S2'!D18</f>
        <v>14</v>
      </c>
      <c r="E18" s="17">
        <f>'[1]DP8 CAIHUASI S1'!E18+'[1]DP6 CAIHUASI S2'!E18</f>
        <v>1</v>
      </c>
      <c r="F18" s="17">
        <f>'[1]DP8 CAIHUASI S1'!F18+'[1]DP6 CAIHUASI S2'!F18</f>
        <v>2</v>
      </c>
      <c r="G18" s="17">
        <f>'[1]DP8 CAIHUASI S1'!G18+'[1]DP6 CAIHUASI S2'!G18</f>
        <v>18</v>
      </c>
      <c r="H18" s="17">
        <f>'[1]DP8 CAIHUASI S1'!H18+'[1]DP6 CAIHUASI S2'!H18</f>
        <v>3</v>
      </c>
      <c r="I18" s="17">
        <f>'[1]DP8 CAIHUASI S1'!I18+'[1]DP6 CAIHUASI S2'!I18</f>
        <v>1</v>
      </c>
      <c r="J18" s="17">
        <f>'[1]DP8 CAIHUASI S1'!J18+'[1]DP6 CAIHUASI S2'!J18</f>
        <v>18</v>
      </c>
      <c r="K18" s="17">
        <f>'[1]DP8 CAIHUASI S1'!K18+'[1]DP6 CAIHUASI S2'!K18</f>
        <v>23</v>
      </c>
      <c r="L18" s="17">
        <f>'[1]DP8 CAIHUASI S1'!L18+'[1]DP6 CAIHUASI S2'!L18</f>
        <v>3</v>
      </c>
      <c r="M18" s="17">
        <f>'[1]DP8 CAIHUASI S1'!M18+'[1]DP6 CAIHUASI S2'!M18</f>
        <v>1</v>
      </c>
      <c r="N18" s="17">
        <f>'[1]DP8 CAIHUASI S1'!N18+'[1]DP6 CAIHUASI S2'!N18</f>
        <v>0</v>
      </c>
      <c r="O18" s="17">
        <f t="shared" si="0"/>
        <v>138</v>
      </c>
      <c r="P18" s="18">
        <f t="shared" si="1"/>
        <v>3.6682615629984053E-2</v>
      </c>
    </row>
    <row r="19" spans="1:16" ht="17.25" customHeight="1" x14ac:dyDescent="0.25">
      <c r="A19" s="19" t="s">
        <v>34</v>
      </c>
      <c r="B19" s="17">
        <f>'[1]DP8 CAIHUASI S1'!B19+'[1]DP6 CAIHUASI S2'!B19</f>
        <v>49</v>
      </c>
      <c r="C19" s="17">
        <f>'[1]DP8 CAIHUASI S1'!C19+'[1]DP6 CAIHUASI S2'!C19</f>
        <v>13</v>
      </c>
      <c r="D19" s="17">
        <f>'[1]DP8 CAIHUASI S1'!D19+'[1]DP6 CAIHUASI S2'!D19</f>
        <v>18</v>
      </c>
      <c r="E19" s="17">
        <f>'[1]DP8 CAIHUASI S1'!E19+'[1]DP6 CAIHUASI S2'!E19</f>
        <v>0</v>
      </c>
      <c r="F19" s="17">
        <f>'[1]DP8 CAIHUASI S1'!F19+'[1]DP6 CAIHUASI S2'!F19</f>
        <v>4</v>
      </c>
      <c r="G19" s="17">
        <f>'[1]DP8 CAIHUASI S1'!G19+'[1]DP6 CAIHUASI S2'!G19</f>
        <v>9</v>
      </c>
      <c r="H19" s="17">
        <f>'[1]DP8 CAIHUASI S1'!H19+'[1]DP6 CAIHUASI S2'!H19</f>
        <v>1</v>
      </c>
      <c r="I19" s="17">
        <f>'[1]DP8 CAIHUASI S1'!I19+'[1]DP6 CAIHUASI S2'!I19</f>
        <v>4</v>
      </c>
      <c r="J19" s="17">
        <f>'[1]DP8 CAIHUASI S1'!J19+'[1]DP6 CAIHUASI S2'!J19</f>
        <v>4</v>
      </c>
      <c r="K19" s="17">
        <f>'[1]DP8 CAIHUASI S1'!K19+'[1]DP6 CAIHUASI S2'!K19</f>
        <v>12</v>
      </c>
      <c r="L19" s="17">
        <f>'[1]DP8 CAIHUASI S1'!L19+'[1]DP6 CAIHUASI S2'!L19</f>
        <v>2</v>
      </c>
      <c r="M19" s="17">
        <f>'[1]DP8 CAIHUASI S1'!M19+'[1]DP6 CAIHUASI S2'!M19</f>
        <v>0</v>
      </c>
      <c r="N19" s="17">
        <f>'[1]DP8 CAIHUASI S1'!N19+'[1]DP6 CAIHUASI S2'!N19</f>
        <v>0</v>
      </c>
      <c r="O19" s="17">
        <f t="shared" si="0"/>
        <v>116</v>
      </c>
      <c r="P19" s="18">
        <f t="shared" si="1"/>
        <v>3.0834662413609781E-2</v>
      </c>
    </row>
    <row r="20" spans="1:16" ht="17.25" customHeight="1" x14ac:dyDescent="0.25">
      <c r="A20" s="19" t="s">
        <v>35</v>
      </c>
      <c r="B20" s="17">
        <f>'[1]DP8 CAIHUASI S1'!B20+'[1]DP6 CAIHUASI S2'!B20</f>
        <v>28</v>
      </c>
      <c r="C20" s="17">
        <f>'[1]DP8 CAIHUASI S1'!C20+'[1]DP6 CAIHUASI S2'!C20</f>
        <v>9</v>
      </c>
      <c r="D20" s="17">
        <f>'[1]DP8 CAIHUASI S1'!D20+'[1]DP6 CAIHUASI S2'!D20</f>
        <v>22</v>
      </c>
      <c r="E20" s="17">
        <f>'[1]DP8 CAIHUASI S1'!E20+'[1]DP6 CAIHUASI S2'!E20</f>
        <v>0</v>
      </c>
      <c r="F20" s="17">
        <f>'[1]DP8 CAIHUASI S1'!F20+'[1]DP6 CAIHUASI S2'!F20</f>
        <v>7</v>
      </c>
      <c r="G20" s="17">
        <f>'[1]DP8 CAIHUASI S1'!G20+'[1]DP6 CAIHUASI S2'!G20</f>
        <v>28</v>
      </c>
      <c r="H20" s="17">
        <f>'[1]DP8 CAIHUASI S1'!H20+'[1]DP6 CAIHUASI S2'!H20</f>
        <v>1</v>
      </c>
      <c r="I20" s="17">
        <f>'[1]DP8 CAIHUASI S1'!I20+'[1]DP6 CAIHUASI S2'!I20</f>
        <v>11</v>
      </c>
      <c r="J20" s="17">
        <f>'[1]DP8 CAIHUASI S1'!J20+'[1]DP6 CAIHUASI S2'!J20</f>
        <v>27</v>
      </c>
      <c r="K20" s="17">
        <f>'[1]DP8 CAIHUASI S1'!K20+'[1]DP6 CAIHUASI S2'!K20</f>
        <v>21</v>
      </c>
      <c r="L20" s="17">
        <f>'[1]DP8 CAIHUASI S1'!L20+'[1]DP6 CAIHUASI S2'!L20</f>
        <v>7</v>
      </c>
      <c r="M20" s="17">
        <f>'[1]DP8 CAIHUASI S1'!M20+'[1]DP6 CAIHUASI S2'!M20</f>
        <v>0</v>
      </c>
      <c r="N20" s="17">
        <f>'[1]DP8 CAIHUASI S1'!N20+'[1]DP6 CAIHUASI S2'!N20</f>
        <v>0</v>
      </c>
      <c r="O20" s="17">
        <f t="shared" si="0"/>
        <v>161</v>
      </c>
      <c r="P20" s="18">
        <f t="shared" si="1"/>
        <v>4.2796384901648062E-2</v>
      </c>
    </row>
    <row r="21" spans="1:16" ht="17.25" customHeight="1" x14ac:dyDescent="0.25">
      <c r="A21" s="19" t="s">
        <v>36</v>
      </c>
      <c r="B21" s="17">
        <f>'[1]DP8 CAIHUASI S1'!B21+'[1]DP6 CAIHUASI S2'!B21</f>
        <v>29</v>
      </c>
      <c r="C21" s="17">
        <f>'[1]DP8 CAIHUASI S1'!C21+'[1]DP6 CAIHUASI S2'!C21</f>
        <v>7</v>
      </c>
      <c r="D21" s="17">
        <f>'[1]DP8 CAIHUASI S1'!D21+'[1]DP6 CAIHUASI S2'!D21</f>
        <v>36</v>
      </c>
      <c r="E21" s="17">
        <f>'[1]DP8 CAIHUASI S1'!E21+'[1]DP6 CAIHUASI S2'!E21</f>
        <v>0</v>
      </c>
      <c r="F21" s="17">
        <f>'[1]DP8 CAIHUASI S1'!F21+'[1]DP6 CAIHUASI S2'!F21</f>
        <v>8</v>
      </c>
      <c r="G21" s="17">
        <f>'[1]DP8 CAIHUASI S1'!G21+'[1]DP6 CAIHUASI S2'!G21</f>
        <v>26</v>
      </c>
      <c r="H21" s="17">
        <f>'[1]DP8 CAIHUASI S1'!H21+'[1]DP6 CAIHUASI S2'!H21</f>
        <v>2</v>
      </c>
      <c r="I21" s="17">
        <f>'[1]DP8 CAIHUASI S1'!I21+'[1]DP6 CAIHUASI S2'!I21</f>
        <v>15</v>
      </c>
      <c r="J21" s="17">
        <f>'[1]DP8 CAIHUASI S1'!J21+'[1]DP6 CAIHUASI S2'!J21</f>
        <v>19</v>
      </c>
      <c r="K21" s="17">
        <f>'[1]DP8 CAIHUASI S1'!K21+'[1]DP6 CAIHUASI S2'!K21</f>
        <v>27</v>
      </c>
      <c r="L21" s="17">
        <f>'[1]DP8 CAIHUASI S1'!L21+'[1]DP6 CAIHUASI S2'!L21</f>
        <v>10</v>
      </c>
      <c r="M21" s="17">
        <f>'[1]DP8 CAIHUASI S1'!M21+'[1]DP6 CAIHUASI S2'!M21</f>
        <v>2</v>
      </c>
      <c r="N21" s="17">
        <f>'[1]DP8 CAIHUASI S1'!N21+'[1]DP6 CAIHUASI S2'!N21</f>
        <v>0</v>
      </c>
      <c r="O21" s="17">
        <f t="shared" si="0"/>
        <v>181</v>
      </c>
      <c r="P21" s="18">
        <f t="shared" si="1"/>
        <v>4.811270600744285E-2</v>
      </c>
    </row>
    <row r="22" spans="1:16" ht="17.25" customHeight="1" x14ac:dyDescent="0.25">
      <c r="A22" s="19" t="s">
        <v>37</v>
      </c>
      <c r="B22" s="17">
        <f>'[1]DP8 CAIHUASI S1'!B22+'[1]DP6 CAIHUASI S2'!B22</f>
        <v>30</v>
      </c>
      <c r="C22" s="17">
        <f>'[1]DP8 CAIHUASI S1'!C22+'[1]DP6 CAIHUASI S2'!C22</f>
        <v>10</v>
      </c>
      <c r="D22" s="17">
        <f>'[1]DP8 CAIHUASI S1'!D22+'[1]DP6 CAIHUASI S2'!D22</f>
        <v>19</v>
      </c>
      <c r="E22" s="17">
        <f>'[1]DP8 CAIHUASI S1'!E22+'[1]DP6 CAIHUASI S2'!E22</f>
        <v>0</v>
      </c>
      <c r="F22" s="17">
        <f>'[1]DP8 CAIHUASI S1'!F22+'[1]DP6 CAIHUASI S2'!F22</f>
        <v>0</v>
      </c>
      <c r="G22" s="17">
        <f>'[1]DP8 CAIHUASI S1'!G22+'[1]DP6 CAIHUASI S2'!G22</f>
        <v>27</v>
      </c>
      <c r="H22" s="17">
        <f>'[1]DP8 CAIHUASI S1'!H22+'[1]DP6 CAIHUASI S2'!H22</f>
        <v>1</v>
      </c>
      <c r="I22" s="17">
        <f>'[1]DP8 CAIHUASI S1'!I22+'[1]DP6 CAIHUASI S2'!I22</f>
        <v>1</v>
      </c>
      <c r="J22" s="17">
        <f>'[1]DP8 CAIHUASI S1'!J22+'[1]DP6 CAIHUASI S2'!J22</f>
        <v>14</v>
      </c>
      <c r="K22" s="17">
        <f>'[1]DP8 CAIHUASI S1'!K22+'[1]DP6 CAIHUASI S2'!K22</f>
        <v>15</v>
      </c>
      <c r="L22" s="17">
        <f>'[1]DP8 CAIHUASI S1'!L22+'[1]DP6 CAIHUASI S2'!L22</f>
        <v>3</v>
      </c>
      <c r="M22" s="17">
        <f>'[1]DP8 CAIHUASI S1'!M22+'[1]DP6 CAIHUASI S2'!M22</f>
        <v>3</v>
      </c>
      <c r="N22" s="17">
        <f>'[1]DP8 CAIHUASI S1'!N22+'[1]DP6 CAIHUASI S2'!N22</f>
        <v>0</v>
      </c>
      <c r="O22" s="17">
        <f t="shared" si="0"/>
        <v>123</v>
      </c>
      <c r="P22" s="18">
        <f t="shared" si="1"/>
        <v>3.2695374800637958E-2</v>
      </c>
    </row>
    <row r="23" spans="1:16" ht="17.25" customHeight="1" x14ac:dyDescent="0.25">
      <c r="A23" s="19" t="s">
        <v>38</v>
      </c>
      <c r="B23" s="17">
        <f>'[1]DP8 CAIHUASI S1'!B23+'[1]DP6 CAIHUASI S2'!B23</f>
        <v>72</v>
      </c>
      <c r="C23" s="17">
        <f>'[1]DP8 CAIHUASI S1'!C23+'[1]DP6 CAIHUASI S2'!C23</f>
        <v>9</v>
      </c>
      <c r="D23" s="17">
        <f>'[1]DP8 CAIHUASI S1'!D23+'[1]DP6 CAIHUASI S2'!D23</f>
        <v>36</v>
      </c>
      <c r="E23" s="17">
        <f>'[1]DP8 CAIHUASI S1'!E23+'[1]DP6 CAIHUASI S2'!E23</f>
        <v>0</v>
      </c>
      <c r="F23" s="17">
        <f>'[1]DP8 CAIHUASI S1'!F23+'[1]DP6 CAIHUASI S2'!F23</f>
        <v>5</v>
      </c>
      <c r="G23" s="17">
        <f>'[1]DP8 CAIHUASI S1'!G23+'[1]DP6 CAIHUASI S2'!G23</f>
        <v>21</v>
      </c>
      <c r="H23" s="17">
        <f>'[1]DP8 CAIHUASI S1'!H23+'[1]DP6 CAIHUASI S2'!H23</f>
        <v>8</v>
      </c>
      <c r="I23" s="17">
        <f>'[1]DP8 CAIHUASI S1'!I23+'[1]DP6 CAIHUASI S2'!I23</f>
        <v>5</v>
      </c>
      <c r="J23" s="17">
        <f>'[1]DP8 CAIHUASI S1'!J23+'[1]DP6 CAIHUASI S2'!J23</f>
        <v>10</v>
      </c>
      <c r="K23" s="17">
        <f>'[1]DP8 CAIHUASI S1'!K23+'[1]DP6 CAIHUASI S2'!K23</f>
        <v>9</v>
      </c>
      <c r="L23" s="17">
        <f>'[1]DP8 CAIHUASI S1'!L23+'[1]DP6 CAIHUASI S2'!L23</f>
        <v>2</v>
      </c>
      <c r="M23" s="17">
        <f>'[1]DP8 CAIHUASI S1'!M23+'[1]DP6 CAIHUASI S2'!M23</f>
        <v>3</v>
      </c>
      <c r="N23" s="17">
        <f>'[1]DP8 CAIHUASI S1'!N23+'[1]DP6 CAIHUASI S2'!N23</f>
        <v>0</v>
      </c>
      <c r="O23" s="17">
        <f t="shared" si="0"/>
        <v>180</v>
      </c>
      <c r="P23" s="18">
        <f t="shared" si="1"/>
        <v>4.784688995215311E-2</v>
      </c>
    </row>
    <row r="24" spans="1:16" ht="17.25" customHeight="1" x14ac:dyDescent="0.25">
      <c r="A24" s="19" t="s">
        <v>39</v>
      </c>
      <c r="B24" s="17">
        <f>'[1]DP8 CAIHUASI S1'!B24+'[1]DP6 CAIHUASI S2'!B24</f>
        <v>75</v>
      </c>
      <c r="C24" s="17">
        <f>'[1]DP8 CAIHUASI S1'!C24+'[1]DP6 CAIHUASI S2'!C24</f>
        <v>9</v>
      </c>
      <c r="D24" s="17">
        <f>'[1]DP8 CAIHUASI S1'!D24+'[1]DP6 CAIHUASI S2'!D24</f>
        <v>47</v>
      </c>
      <c r="E24" s="17">
        <f>'[1]DP8 CAIHUASI S1'!E24+'[1]DP6 CAIHUASI S2'!E24</f>
        <v>0</v>
      </c>
      <c r="F24" s="17">
        <f>'[1]DP8 CAIHUASI S1'!F24+'[1]DP6 CAIHUASI S2'!F24</f>
        <v>1</v>
      </c>
      <c r="G24" s="17">
        <f>'[1]DP8 CAIHUASI S1'!G24+'[1]DP6 CAIHUASI S2'!G24</f>
        <v>23</v>
      </c>
      <c r="H24" s="17">
        <f>'[1]DP8 CAIHUASI S1'!H24+'[1]DP6 CAIHUASI S2'!H24</f>
        <v>3</v>
      </c>
      <c r="I24" s="17">
        <f>'[1]DP8 CAIHUASI S1'!I24+'[1]DP6 CAIHUASI S2'!I24</f>
        <v>7</v>
      </c>
      <c r="J24" s="17">
        <f>'[1]DP8 CAIHUASI S1'!J24+'[1]DP6 CAIHUASI S2'!J24</f>
        <v>18</v>
      </c>
      <c r="K24" s="17">
        <f>'[1]DP8 CAIHUASI S1'!K24+'[1]DP6 CAIHUASI S2'!K24</f>
        <v>17</v>
      </c>
      <c r="L24" s="17">
        <f>'[1]DP8 CAIHUASI S1'!L24+'[1]DP6 CAIHUASI S2'!L24</f>
        <v>2</v>
      </c>
      <c r="M24" s="17">
        <f>'[1]DP8 CAIHUASI S1'!M24+'[1]DP6 CAIHUASI S2'!M24</f>
        <v>0</v>
      </c>
      <c r="N24" s="17">
        <f>'[1]DP8 CAIHUASI S1'!N24+'[1]DP6 CAIHUASI S2'!N24</f>
        <v>0</v>
      </c>
      <c r="O24" s="17">
        <f t="shared" si="0"/>
        <v>202</v>
      </c>
      <c r="P24" s="18">
        <f t="shared" si="1"/>
        <v>5.3694843168527379E-2</v>
      </c>
    </row>
    <row r="25" spans="1:16" ht="17.25" customHeight="1" x14ac:dyDescent="0.25">
      <c r="A25" s="19" t="s">
        <v>40</v>
      </c>
      <c r="B25" s="17">
        <f>'[1]DP8 CAIHUASI S1'!B25+'[1]DP6 CAIHUASI S2'!B25</f>
        <v>85</v>
      </c>
      <c r="C25" s="17">
        <f>'[1]DP8 CAIHUASI S1'!C25+'[1]DP6 CAIHUASI S2'!C25</f>
        <v>7</v>
      </c>
      <c r="D25" s="17">
        <f>'[1]DP8 CAIHUASI S1'!D25+'[1]DP6 CAIHUASI S2'!D25</f>
        <v>36</v>
      </c>
      <c r="E25" s="17">
        <f>'[1]DP8 CAIHUASI S1'!E25+'[1]DP6 CAIHUASI S2'!E25</f>
        <v>1</v>
      </c>
      <c r="F25" s="17">
        <f>'[1]DP8 CAIHUASI S1'!F25+'[1]DP6 CAIHUASI S2'!F25</f>
        <v>1</v>
      </c>
      <c r="G25" s="17">
        <f>'[1]DP8 CAIHUASI S1'!G25+'[1]DP6 CAIHUASI S2'!G25</f>
        <v>14</v>
      </c>
      <c r="H25" s="17">
        <f>'[1]DP8 CAIHUASI S1'!H25+'[1]DP6 CAIHUASI S2'!H25</f>
        <v>4</v>
      </c>
      <c r="I25" s="17">
        <f>'[1]DP8 CAIHUASI S1'!I25+'[1]DP6 CAIHUASI S2'!I25</f>
        <v>7</v>
      </c>
      <c r="J25" s="17">
        <f>'[1]DP8 CAIHUASI S1'!J25+'[1]DP6 CAIHUASI S2'!J25</f>
        <v>10</v>
      </c>
      <c r="K25" s="17">
        <f>'[1]DP8 CAIHUASI S1'!K25+'[1]DP6 CAIHUASI S2'!K25</f>
        <v>18</v>
      </c>
      <c r="L25" s="17">
        <f>'[1]DP8 CAIHUASI S1'!L25+'[1]DP6 CAIHUASI S2'!L25</f>
        <v>1</v>
      </c>
      <c r="M25" s="17">
        <f>'[1]DP8 CAIHUASI S1'!M25+'[1]DP6 CAIHUASI S2'!M25</f>
        <v>4</v>
      </c>
      <c r="N25" s="17">
        <f>'[1]DP8 CAIHUASI S1'!N25+'[1]DP6 CAIHUASI S2'!N25</f>
        <v>0</v>
      </c>
      <c r="O25" s="17">
        <f t="shared" si="0"/>
        <v>188</v>
      </c>
      <c r="P25" s="18">
        <f t="shared" si="1"/>
        <v>4.9973418394471024E-2</v>
      </c>
    </row>
    <row r="26" spans="1:16" ht="17.25" customHeight="1" x14ac:dyDescent="0.25">
      <c r="A26" s="19" t="s">
        <v>41</v>
      </c>
      <c r="B26" s="17">
        <f>'[1]DP8 CAIHUASI S1'!B26+'[1]DP6 CAIHUASI S2'!B26</f>
        <v>79</v>
      </c>
      <c r="C26" s="17">
        <f>'[1]DP8 CAIHUASI S1'!C26+'[1]DP6 CAIHUASI S2'!C26</f>
        <v>11</v>
      </c>
      <c r="D26" s="17">
        <f>'[1]DP8 CAIHUASI S1'!D26+'[1]DP6 CAIHUASI S2'!D26</f>
        <v>41</v>
      </c>
      <c r="E26" s="17">
        <f>'[1]DP8 CAIHUASI S1'!E26+'[1]DP6 CAIHUASI S2'!E26</f>
        <v>0</v>
      </c>
      <c r="F26" s="17">
        <f>'[1]DP8 CAIHUASI S1'!F26+'[1]DP6 CAIHUASI S2'!F26</f>
        <v>2</v>
      </c>
      <c r="G26" s="17">
        <f>'[1]DP8 CAIHUASI S1'!G26+'[1]DP6 CAIHUASI S2'!G26</f>
        <v>16</v>
      </c>
      <c r="H26" s="17">
        <f>'[1]DP8 CAIHUASI S1'!H26+'[1]DP6 CAIHUASI S2'!H26</f>
        <v>4</v>
      </c>
      <c r="I26" s="17">
        <f>'[1]DP8 CAIHUASI S1'!I26+'[1]DP6 CAIHUASI S2'!I26</f>
        <v>5</v>
      </c>
      <c r="J26" s="17">
        <f>'[1]DP8 CAIHUASI S1'!J26+'[1]DP6 CAIHUASI S2'!J26</f>
        <v>24</v>
      </c>
      <c r="K26" s="17">
        <f>'[1]DP8 CAIHUASI S1'!K26+'[1]DP6 CAIHUASI S2'!K26</f>
        <v>22</v>
      </c>
      <c r="L26" s="17">
        <f>'[1]DP8 CAIHUASI S1'!L26+'[1]DP6 CAIHUASI S2'!L26</f>
        <v>4</v>
      </c>
      <c r="M26" s="17">
        <f>'[1]DP8 CAIHUASI S1'!M26+'[1]DP6 CAIHUASI S2'!M26</f>
        <v>1</v>
      </c>
      <c r="N26" s="17">
        <f>'[1]DP8 CAIHUASI S1'!N26+'[1]DP6 CAIHUASI S2'!N26</f>
        <v>0</v>
      </c>
      <c r="O26" s="17">
        <f t="shared" si="0"/>
        <v>209</v>
      </c>
      <c r="P26" s="18">
        <f t="shared" si="1"/>
        <v>5.5555555555555552E-2</v>
      </c>
    </row>
    <row r="27" spans="1:16" ht="17.25" customHeight="1" x14ac:dyDescent="0.25">
      <c r="A27" s="28" t="s">
        <v>42</v>
      </c>
      <c r="B27" s="29">
        <f>'[1]DP8 CAIHUASI S1'!B27+'[1]DP6 CAIHUASI S2'!B27</f>
        <v>101</v>
      </c>
      <c r="C27" s="29">
        <f>'[1]DP8 CAIHUASI S1'!C27+'[1]DP6 CAIHUASI S2'!C27</f>
        <v>16</v>
      </c>
      <c r="D27" s="29">
        <f>'[1]DP8 CAIHUASI S1'!D27+'[1]DP6 CAIHUASI S2'!D27</f>
        <v>37</v>
      </c>
      <c r="E27" s="29">
        <f>'[1]DP8 CAIHUASI S1'!E27+'[1]DP6 CAIHUASI S2'!E27</f>
        <v>0</v>
      </c>
      <c r="F27" s="29">
        <f>'[1]DP8 CAIHUASI S1'!F27+'[1]DP6 CAIHUASI S2'!F27</f>
        <v>2</v>
      </c>
      <c r="G27" s="29">
        <f>'[1]DP8 CAIHUASI S1'!G27+'[1]DP6 CAIHUASI S2'!G27</f>
        <v>23</v>
      </c>
      <c r="H27" s="29">
        <f>'[1]DP8 CAIHUASI S1'!H27+'[1]DP6 CAIHUASI S2'!H27</f>
        <v>2</v>
      </c>
      <c r="I27" s="29">
        <f>'[1]DP8 CAIHUASI S1'!I27+'[1]DP6 CAIHUASI S2'!I27</f>
        <v>16</v>
      </c>
      <c r="J27" s="29">
        <f>'[1]DP8 CAIHUASI S1'!J27+'[1]DP6 CAIHUASI S2'!J27</f>
        <v>9</v>
      </c>
      <c r="K27" s="29">
        <f>'[1]DP8 CAIHUASI S1'!K27+'[1]DP6 CAIHUASI S2'!K27</f>
        <v>36</v>
      </c>
      <c r="L27" s="29">
        <f>'[1]DP8 CAIHUASI S1'!L27+'[1]DP6 CAIHUASI S2'!L27</f>
        <v>4</v>
      </c>
      <c r="M27" s="29">
        <f>'[1]DP8 CAIHUASI S1'!M27+'[1]DP6 CAIHUASI S2'!M27</f>
        <v>0</v>
      </c>
      <c r="N27" s="29">
        <f>'[1]DP8 CAIHUASI S1'!N27+'[1]DP6 CAIHUASI S2'!N27</f>
        <v>0</v>
      </c>
      <c r="O27" s="29">
        <f t="shared" si="0"/>
        <v>246</v>
      </c>
      <c r="P27" s="30">
        <f t="shared" si="1"/>
        <v>6.5390749601275916E-2</v>
      </c>
    </row>
    <row r="28" spans="1:16" ht="17.25" customHeight="1" x14ac:dyDescent="0.25">
      <c r="A28" s="19" t="s">
        <v>43</v>
      </c>
      <c r="B28" s="17">
        <f>'[1]DP8 CAIHUASI S1'!B28+'[1]DP6 CAIHUASI S2'!B28</f>
        <v>81</v>
      </c>
      <c r="C28" s="17">
        <f>'[1]DP8 CAIHUASI S1'!C28+'[1]DP6 CAIHUASI S2'!C28</f>
        <v>11</v>
      </c>
      <c r="D28" s="17">
        <f>'[1]DP8 CAIHUASI S1'!D28+'[1]DP6 CAIHUASI S2'!D28</f>
        <v>34</v>
      </c>
      <c r="E28" s="17">
        <f>'[1]DP8 CAIHUASI S1'!E28+'[1]DP6 CAIHUASI S2'!E28</f>
        <v>0</v>
      </c>
      <c r="F28" s="17">
        <f>'[1]DP8 CAIHUASI S1'!F28+'[1]DP6 CAIHUASI S2'!F28</f>
        <v>2</v>
      </c>
      <c r="G28" s="17">
        <f>'[1]DP8 CAIHUASI S1'!G28+'[1]DP6 CAIHUASI S2'!G28</f>
        <v>19</v>
      </c>
      <c r="H28" s="17">
        <f>'[1]DP8 CAIHUASI S1'!H28+'[1]DP6 CAIHUASI S2'!H28</f>
        <v>1</v>
      </c>
      <c r="I28" s="17">
        <f>'[1]DP8 CAIHUASI S1'!I28+'[1]DP6 CAIHUASI S2'!I28</f>
        <v>12</v>
      </c>
      <c r="J28" s="17">
        <f>'[1]DP8 CAIHUASI S1'!J28+'[1]DP6 CAIHUASI S2'!J28</f>
        <v>16</v>
      </c>
      <c r="K28" s="17">
        <f>'[1]DP8 CAIHUASI S1'!K28+'[1]DP6 CAIHUASI S2'!K28</f>
        <v>21</v>
      </c>
      <c r="L28" s="17">
        <f>'[1]DP8 CAIHUASI S1'!L28+'[1]DP6 CAIHUASI S2'!L28</f>
        <v>5</v>
      </c>
      <c r="M28" s="17">
        <f>'[1]DP8 CAIHUASI S1'!M28+'[1]DP6 CAIHUASI S2'!M28</f>
        <v>0</v>
      </c>
      <c r="N28" s="17">
        <f>'[1]DP8 CAIHUASI S1'!N28+'[1]DP6 CAIHUASI S2'!N28</f>
        <v>0</v>
      </c>
      <c r="O28" s="17">
        <f t="shared" si="0"/>
        <v>202</v>
      </c>
      <c r="P28" s="18">
        <f t="shared" si="1"/>
        <v>5.3694843168527379E-2</v>
      </c>
    </row>
    <row r="29" spans="1:16" ht="17.25" customHeight="1" x14ac:dyDescent="0.25">
      <c r="A29" s="19" t="s">
        <v>44</v>
      </c>
      <c r="B29" s="17">
        <f>'[1]DP8 CAIHUASI S1'!B29+'[1]DP6 CAIHUASI S2'!B29</f>
        <v>65</v>
      </c>
      <c r="C29" s="17">
        <f>'[1]DP8 CAIHUASI S1'!C29+'[1]DP6 CAIHUASI S2'!C29</f>
        <v>15</v>
      </c>
      <c r="D29" s="17">
        <f>'[1]DP8 CAIHUASI S1'!D29+'[1]DP6 CAIHUASI S2'!D29</f>
        <v>36</v>
      </c>
      <c r="E29" s="17">
        <f>'[1]DP8 CAIHUASI S1'!E29+'[1]DP6 CAIHUASI S2'!E29</f>
        <v>0</v>
      </c>
      <c r="F29" s="17">
        <f>'[1]DP8 CAIHUASI S1'!F29+'[1]DP6 CAIHUASI S2'!F29</f>
        <v>1</v>
      </c>
      <c r="G29" s="17">
        <f>'[1]DP8 CAIHUASI S1'!G29+'[1]DP6 CAIHUASI S2'!G29</f>
        <v>15</v>
      </c>
      <c r="H29" s="17">
        <f>'[1]DP8 CAIHUASI S1'!H29+'[1]DP6 CAIHUASI S2'!H29</f>
        <v>4</v>
      </c>
      <c r="I29" s="17">
        <f>'[1]DP8 CAIHUASI S1'!I29+'[1]DP6 CAIHUASI S2'!I29</f>
        <v>10</v>
      </c>
      <c r="J29" s="17">
        <f>'[1]DP8 CAIHUASI S1'!J29+'[1]DP6 CAIHUASI S2'!J29</f>
        <v>17</v>
      </c>
      <c r="K29" s="17">
        <f>'[1]DP8 CAIHUASI S1'!K29+'[1]DP6 CAIHUASI S2'!K29</f>
        <v>38</v>
      </c>
      <c r="L29" s="17">
        <f>'[1]DP8 CAIHUASI S1'!L29+'[1]DP6 CAIHUASI S2'!L29</f>
        <v>7</v>
      </c>
      <c r="M29" s="17">
        <f>'[1]DP8 CAIHUASI S1'!M29+'[1]DP6 CAIHUASI S2'!M29</f>
        <v>0</v>
      </c>
      <c r="N29" s="17">
        <f>'[1]DP8 CAIHUASI S1'!N29+'[1]DP6 CAIHUASI S2'!N29</f>
        <v>0</v>
      </c>
      <c r="O29" s="17">
        <f t="shared" si="0"/>
        <v>208</v>
      </c>
      <c r="P29" s="18">
        <f t="shared" si="1"/>
        <v>5.5289739500265819E-2</v>
      </c>
    </row>
    <row r="30" spans="1:16" ht="17.25" customHeight="1" x14ac:dyDescent="0.25">
      <c r="A30" s="19" t="s">
        <v>45</v>
      </c>
      <c r="B30" s="17">
        <f>'[1]DP8 CAIHUASI S1'!B30+'[1]DP6 CAIHUASI S2'!B30</f>
        <v>60</v>
      </c>
      <c r="C30" s="17">
        <f>'[1]DP8 CAIHUASI S1'!C30+'[1]DP6 CAIHUASI S2'!C30</f>
        <v>12</v>
      </c>
      <c r="D30" s="17">
        <f>'[1]DP8 CAIHUASI S1'!D30+'[1]DP6 CAIHUASI S2'!D30</f>
        <v>20</v>
      </c>
      <c r="E30" s="17">
        <f>'[1]DP8 CAIHUASI S1'!E30+'[1]DP6 CAIHUASI S2'!E30</f>
        <v>0</v>
      </c>
      <c r="F30" s="17">
        <f>'[1]DP8 CAIHUASI S1'!F30+'[1]DP6 CAIHUASI S2'!F30</f>
        <v>2</v>
      </c>
      <c r="G30" s="17">
        <f>'[1]DP8 CAIHUASI S1'!G30+'[1]DP6 CAIHUASI S2'!G30</f>
        <v>18</v>
      </c>
      <c r="H30" s="17">
        <f>'[1]DP8 CAIHUASI S1'!H30+'[1]DP6 CAIHUASI S2'!H30</f>
        <v>6</v>
      </c>
      <c r="I30" s="17">
        <f>'[1]DP8 CAIHUASI S1'!I30+'[1]DP6 CAIHUASI S2'!I30</f>
        <v>17</v>
      </c>
      <c r="J30" s="17">
        <f>'[1]DP8 CAIHUASI S1'!J30+'[1]DP6 CAIHUASI S2'!J30</f>
        <v>19</v>
      </c>
      <c r="K30" s="17">
        <f>'[1]DP8 CAIHUASI S1'!K30+'[1]DP6 CAIHUASI S2'!K30</f>
        <v>29</v>
      </c>
      <c r="L30" s="17">
        <f>'[1]DP8 CAIHUASI S1'!L30+'[1]DP6 CAIHUASI S2'!L30</f>
        <v>10</v>
      </c>
      <c r="M30" s="17">
        <f>'[1]DP8 CAIHUASI S1'!M30+'[1]DP6 CAIHUASI S2'!M30</f>
        <v>0</v>
      </c>
      <c r="N30" s="17">
        <f>'[1]DP8 CAIHUASI S1'!N30+'[1]DP6 CAIHUASI S2'!N30</f>
        <v>0</v>
      </c>
      <c r="O30" s="17">
        <f t="shared" si="0"/>
        <v>193</v>
      </c>
      <c r="P30" s="18">
        <f t="shared" si="1"/>
        <v>5.1302498670919724E-2</v>
      </c>
    </row>
    <row r="31" spans="1:16" ht="17.25" customHeight="1" x14ac:dyDescent="0.25">
      <c r="A31" s="19" t="s">
        <v>46</v>
      </c>
      <c r="B31" s="17">
        <f>'[1]DP8 CAIHUASI S1'!B31+'[1]DP6 CAIHUASI S2'!B31</f>
        <v>63</v>
      </c>
      <c r="C31" s="17">
        <f>'[1]DP8 CAIHUASI S1'!C31+'[1]DP6 CAIHUASI S2'!C31</f>
        <v>5</v>
      </c>
      <c r="D31" s="17">
        <f>'[1]DP8 CAIHUASI S1'!D31+'[1]DP6 CAIHUASI S2'!D31</f>
        <v>25</v>
      </c>
      <c r="E31" s="17">
        <f>'[1]DP8 CAIHUASI S1'!E31+'[1]DP6 CAIHUASI S2'!E31</f>
        <v>0</v>
      </c>
      <c r="F31" s="17">
        <f>'[1]DP8 CAIHUASI S1'!F31+'[1]DP6 CAIHUASI S2'!F31</f>
        <v>0</v>
      </c>
      <c r="G31" s="17">
        <f>'[1]DP8 CAIHUASI S1'!G31+'[1]DP6 CAIHUASI S2'!G31</f>
        <v>17</v>
      </c>
      <c r="H31" s="17">
        <f>'[1]DP8 CAIHUASI S1'!H31+'[1]DP6 CAIHUASI S2'!H31</f>
        <v>3</v>
      </c>
      <c r="I31" s="17">
        <f>'[1]DP8 CAIHUASI S1'!I31+'[1]DP6 CAIHUASI S2'!I31</f>
        <v>9</v>
      </c>
      <c r="J31" s="17">
        <f>'[1]DP8 CAIHUASI S1'!J31+'[1]DP6 CAIHUASI S2'!J31</f>
        <v>18</v>
      </c>
      <c r="K31" s="17">
        <f>'[1]DP8 CAIHUASI S1'!K31+'[1]DP6 CAIHUASI S2'!K31</f>
        <v>46</v>
      </c>
      <c r="L31" s="17">
        <f>'[1]DP8 CAIHUASI S1'!L31+'[1]DP6 CAIHUASI S2'!L31</f>
        <v>7</v>
      </c>
      <c r="M31" s="17">
        <f>'[1]DP8 CAIHUASI S1'!M31+'[1]DP6 CAIHUASI S2'!M31</f>
        <v>1</v>
      </c>
      <c r="N31" s="17">
        <f>'[1]DP8 CAIHUASI S1'!N31+'[1]DP6 CAIHUASI S2'!N31</f>
        <v>0</v>
      </c>
      <c r="O31" s="17">
        <f t="shared" si="0"/>
        <v>194</v>
      </c>
      <c r="P31" s="18">
        <f t="shared" si="1"/>
        <v>5.1568314726209465E-2</v>
      </c>
    </row>
    <row r="32" spans="1:16" ht="17.25" customHeight="1" x14ac:dyDescent="0.25">
      <c r="A32" s="19" t="s">
        <v>47</v>
      </c>
      <c r="B32" s="17">
        <f>'[1]DP8 CAIHUASI S1'!B32+'[1]DP6 CAIHUASI S2'!B32</f>
        <v>49</v>
      </c>
      <c r="C32" s="17">
        <f>'[1]DP8 CAIHUASI S1'!C32+'[1]DP6 CAIHUASI S2'!C32</f>
        <v>8</v>
      </c>
      <c r="D32" s="17">
        <f>'[1]DP8 CAIHUASI S1'!D32+'[1]DP6 CAIHUASI S2'!D32</f>
        <v>16</v>
      </c>
      <c r="E32" s="17">
        <f>'[1]DP8 CAIHUASI S1'!E32+'[1]DP6 CAIHUASI S2'!E32</f>
        <v>0</v>
      </c>
      <c r="F32" s="17">
        <f>'[1]DP8 CAIHUASI S1'!F32+'[1]DP6 CAIHUASI S2'!F32</f>
        <v>2</v>
      </c>
      <c r="G32" s="17">
        <f>'[1]DP8 CAIHUASI S1'!G32+'[1]DP6 CAIHUASI S2'!G32</f>
        <v>16</v>
      </c>
      <c r="H32" s="17">
        <f>'[1]DP8 CAIHUASI S1'!H32+'[1]DP6 CAIHUASI S2'!H32</f>
        <v>1</v>
      </c>
      <c r="I32" s="17">
        <f>'[1]DP8 CAIHUASI S1'!I32+'[1]DP6 CAIHUASI S2'!I32</f>
        <v>8</v>
      </c>
      <c r="J32" s="17">
        <f>'[1]DP8 CAIHUASI S1'!J32+'[1]DP6 CAIHUASI S2'!J32</f>
        <v>24</v>
      </c>
      <c r="K32" s="17">
        <f>'[1]DP8 CAIHUASI S1'!K32+'[1]DP6 CAIHUASI S2'!K32</f>
        <v>35</v>
      </c>
      <c r="L32" s="17">
        <f>'[1]DP8 CAIHUASI S1'!L32+'[1]DP6 CAIHUASI S2'!L32</f>
        <v>7</v>
      </c>
      <c r="M32" s="17">
        <f>'[1]DP8 CAIHUASI S1'!M32+'[1]DP6 CAIHUASI S2'!M32</f>
        <v>2</v>
      </c>
      <c r="N32" s="17">
        <f>'[1]DP8 CAIHUASI S1'!N32+'[1]DP6 CAIHUASI S2'!N32</f>
        <v>0</v>
      </c>
      <c r="O32" s="17">
        <f t="shared" si="0"/>
        <v>168</v>
      </c>
      <c r="P32" s="18">
        <f t="shared" si="1"/>
        <v>4.4657097288676235E-2</v>
      </c>
    </row>
    <row r="33" spans="1:16" ht="17.25" customHeight="1" x14ac:dyDescent="0.25">
      <c r="A33" s="19" t="s">
        <v>48</v>
      </c>
      <c r="B33" s="17">
        <f>'[1]DP8 CAIHUASI S1'!B33+'[1]DP6 CAIHUASI S2'!B33</f>
        <v>19</v>
      </c>
      <c r="C33" s="17">
        <f>'[1]DP8 CAIHUASI S1'!C33+'[1]DP6 CAIHUASI S2'!C33</f>
        <v>3</v>
      </c>
      <c r="D33" s="17">
        <f>'[1]DP8 CAIHUASI S1'!D33+'[1]DP6 CAIHUASI S2'!D33</f>
        <v>7</v>
      </c>
      <c r="E33" s="17">
        <f>'[1]DP8 CAIHUASI S1'!E33+'[1]DP6 CAIHUASI S2'!E33</f>
        <v>0</v>
      </c>
      <c r="F33" s="17">
        <f>'[1]DP8 CAIHUASI S1'!F33+'[1]DP6 CAIHUASI S2'!F33</f>
        <v>2</v>
      </c>
      <c r="G33" s="17">
        <f>'[1]DP8 CAIHUASI S1'!G33+'[1]DP6 CAIHUASI S2'!G33</f>
        <v>13</v>
      </c>
      <c r="H33" s="17">
        <f>'[1]DP8 CAIHUASI S1'!H33+'[1]DP6 CAIHUASI S2'!H33</f>
        <v>2</v>
      </c>
      <c r="I33" s="17">
        <f>'[1]DP8 CAIHUASI S1'!I33+'[1]DP6 CAIHUASI S2'!I33</f>
        <v>5</v>
      </c>
      <c r="J33" s="17">
        <f>'[1]DP8 CAIHUASI S1'!J33+'[1]DP6 CAIHUASI S2'!J33</f>
        <v>20</v>
      </c>
      <c r="K33" s="17">
        <f>'[1]DP8 CAIHUASI S1'!K33+'[1]DP6 CAIHUASI S2'!K33</f>
        <v>33</v>
      </c>
      <c r="L33" s="17">
        <f>'[1]DP8 CAIHUASI S1'!L33+'[1]DP6 CAIHUASI S2'!L33</f>
        <v>6</v>
      </c>
      <c r="M33" s="17">
        <f>'[1]DP8 CAIHUASI S1'!M33+'[1]DP6 CAIHUASI S2'!M33</f>
        <v>0</v>
      </c>
      <c r="N33" s="17">
        <f>'[1]DP8 CAIHUASI S1'!N33+'[1]DP6 CAIHUASI S2'!N33</f>
        <v>0</v>
      </c>
      <c r="O33" s="17">
        <f t="shared" si="0"/>
        <v>110</v>
      </c>
      <c r="P33" s="18">
        <f t="shared" si="1"/>
        <v>2.9239766081871343E-2</v>
      </c>
    </row>
    <row r="34" spans="1:16" ht="17.25" customHeight="1" thickBot="1" x14ac:dyDescent="0.3">
      <c r="A34" s="20" t="s">
        <v>49</v>
      </c>
      <c r="B34" s="17">
        <f>'[1]DP8 CAIHUASI S1'!B34+'[1]DP6 CAIHUASI S2'!B34</f>
        <v>20</v>
      </c>
      <c r="C34" s="17">
        <f>'[1]DP8 CAIHUASI S1'!C34+'[1]DP6 CAIHUASI S2'!C34</f>
        <v>2</v>
      </c>
      <c r="D34" s="17">
        <f>'[1]DP8 CAIHUASI S1'!D34+'[1]DP6 CAIHUASI S2'!D34</f>
        <v>14</v>
      </c>
      <c r="E34" s="17">
        <f>'[1]DP8 CAIHUASI S1'!E34+'[1]DP6 CAIHUASI S2'!E34</f>
        <v>0</v>
      </c>
      <c r="F34" s="17">
        <f>'[1]DP8 CAIHUASI S1'!F34+'[1]DP6 CAIHUASI S2'!F34</f>
        <v>6</v>
      </c>
      <c r="G34" s="17">
        <f>'[1]DP8 CAIHUASI S1'!G34+'[1]DP6 CAIHUASI S2'!G34</f>
        <v>18</v>
      </c>
      <c r="H34" s="17">
        <f>'[1]DP8 CAIHUASI S1'!H34+'[1]DP6 CAIHUASI S2'!H34</f>
        <v>0</v>
      </c>
      <c r="I34" s="17">
        <f>'[1]DP8 CAIHUASI S1'!I34+'[1]DP6 CAIHUASI S2'!I34</f>
        <v>7</v>
      </c>
      <c r="J34" s="17">
        <f>'[1]DP8 CAIHUASI S1'!J34+'[1]DP6 CAIHUASI S2'!J34</f>
        <v>9</v>
      </c>
      <c r="K34" s="17">
        <f>'[1]DP8 CAIHUASI S1'!K34+'[1]DP6 CAIHUASI S2'!K34</f>
        <v>41</v>
      </c>
      <c r="L34" s="17">
        <f>'[1]DP8 CAIHUASI S1'!L34+'[1]DP6 CAIHUASI S2'!L34</f>
        <v>5</v>
      </c>
      <c r="M34" s="17">
        <f>'[1]DP8 CAIHUASI S1'!M34+'[1]DP6 CAIHUASI S2'!M34</f>
        <v>0</v>
      </c>
      <c r="N34" s="17">
        <f>'[1]DP8 CAIHUASI S1'!N34+'[1]DP6 CAIHUASI S2'!N34</f>
        <v>0</v>
      </c>
      <c r="O34" s="17">
        <f t="shared" si="0"/>
        <v>122</v>
      </c>
      <c r="P34" s="18">
        <f t="shared" si="1"/>
        <v>3.2429558745348218E-2</v>
      </c>
    </row>
    <row r="35" spans="1:16" ht="17.25" customHeight="1" thickBot="1" x14ac:dyDescent="0.3">
      <c r="A35" s="21" t="s">
        <v>24</v>
      </c>
      <c r="B35" s="22">
        <f t="shared" ref="B35:P35" si="2">SUM(B11:B34)</f>
        <v>1080</v>
      </c>
      <c r="C35" s="22">
        <f t="shared" si="2"/>
        <v>181</v>
      </c>
      <c r="D35" s="22">
        <f t="shared" si="2"/>
        <v>570</v>
      </c>
      <c r="E35" s="22">
        <f t="shared" si="2"/>
        <v>3</v>
      </c>
      <c r="F35" s="22">
        <f t="shared" si="2"/>
        <v>66</v>
      </c>
      <c r="G35" s="22">
        <f t="shared" si="2"/>
        <v>476</v>
      </c>
      <c r="H35" s="22">
        <f t="shared" si="2"/>
        <v>66</v>
      </c>
      <c r="I35" s="22">
        <f t="shared" si="2"/>
        <v>178</v>
      </c>
      <c r="J35" s="22">
        <f t="shared" si="2"/>
        <v>389</v>
      </c>
      <c r="K35" s="22">
        <f t="shared" si="2"/>
        <v>579</v>
      </c>
      <c r="L35" s="22">
        <f t="shared" si="2"/>
        <v>156</v>
      </c>
      <c r="M35" s="22">
        <f t="shared" si="2"/>
        <v>18</v>
      </c>
      <c r="N35" s="22">
        <f t="shared" si="2"/>
        <v>0</v>
      </c>
      <c r="O35" s="22">
        <f t="shared" si="2"/>
        <v>3762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0.28708133971291866</v>
      </c>
      <c r="C36" s="25">
        <f t="shared" si="3"/>
        <v>4.811270600744285E-2</v>
      </c>
      <c r="D36" s="25">
        <f t="shared" si="3"/>
        <v>0.15151515151515152</v>
      </c>
      <c r="E36" s="25">
        <f t="shared" si="3"/>
        <v>7.9744816586921851E-4</v>
      </c>
      <c r="F36" s="25">
        <f t="shared" si="3"/>
        <v>1.7543859649122806E-2</v>
      </c>
      <c r="G36" s="25">
        <f t="shared" si="3"/>
        <v>0.12652844231791599</v>
      </c>
      <c r="H36" s="25">
        <f t="shared" si="3"/>
        <v>1.7543859649122806E-2</v>
      </c>
      <c r="I36" s="25">
        <f t="shared" si="3"/>
        <v>4.731525784157363E-2</v>
      </c>
      <c r="J36" s="25">
        <f t="shared" si="3"/>
        <v>0.10340244550770866</v>
      </c>
      <c r="K36" s="25">
        <f t="shared" si="3"/>
        <v>0.15390749601275916</v>
      </c>
      <c r="L36" s="25">
        <f t="shared" si="3"/>
        <v>4.1467304625199361E-2</v>
      </c>
      <c r="M36" s="25">
        <f t="shared" si="3"/>
        <v>4.7846889952153108E-3</v>
      </c>
      <c r="N36" s="25">
        <f t="shared" si="3"/>
        <v>0</v>
      </c>
      <c r="O36" s="25">
        <f>SUM(B36:N36)</f>
        <v>1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63"/>
      <c r="T3" s="63"/>
      <c r="U3" s="63"/>
      <c r="V3" s="63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51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'[2]DP8 CAIHUASI S1'!B11+'[2]DP6 CAIHUASI S2'!B11</f>
        <v>19</v>
      </c>
      <c r="C11" s="17">
        <f>'[2]DP8 CAIHUASI S1'!C11+'[2]DP6 CAIHUASI S2'!C11</f>
        <v>7</v>
      </c>
      <c r="D11" s="17">
        <f>'[2]DP8 CAIHUASI S1'!D11+'[2]DP6 CAIHUASI S2'!D11</f>
        <v>7</v>
      </c>
      <c r="E11" s="17">
        <f>'[2]DP8 CAIHUASI S1'!E11+'[2]DP6 CAIHUASI S2'!E11</f>
        <v>0</v>
      </c>
      <c r="F11" s="17">
        <f>'[2]DP8 CAIHUASI S1'!F11+'[2]DP6 CAIHUASI S2'!F11</f>
        <v>6</v>
      </c>
      <c r="G11" s="17">
        <f>'[2]DP8 CAIHUASI S1'!G11+'[2]DP6 CAIHUASI S2'!G11</f>
        <v>15</v>
      </c>
      <c r="H11" s="17">
        <f>'[2]DP8 CAIHUASI S1'!H11+'[2]DP6 CAIHUASI S2'!H11</f>
        <v>2</v>
      </c>
      <c r="I11" s="17">
        <f>'[2]DP8 CAIHUASI S1'!I11+'[2]DP6 CAIHUASI S2'!I11</f>
        <v>7</v>
      </c>
      <c r="J11" s="17">
        <f>'[2]DP8 CAIHUASI S1'!J11+'[2]DP6 CAIHUASI S2'!J11</f>
        <v>24</v>
      </c>
      <c r="K11" s="17">
        <f>'[2]DP8 CAIHUASI S1'!K11+'[2]DP6 CAIHUASI S2'!K11</f>
        <v>19</v>
      </c>
      <c r="L11" s="17">
        <f>'[2]DP8 CAIHUASI S1'!L11+'[2]DP6 CAIHUASI S2'!L11</f>
        <v>4</v>
      </c>
      <c r="M11" s="17">
        <f>'[2]DP8 CAIHUASI S1'!M11+'[2]DP6 CAIHUASI S2'!M11</f>
        <v>1</v>
      </c>
      <c r="N11" s="17">
        <f>'[2]DP8 CAIHUASI S1'!N11+'[2]DP6 CAIHUASI S2'!N11</f>
        <v>0</v>
      </c>
      <c r="O11" s="17">
        <f t="shared" ref="O11:O34" si="0">SUM(B11:N11)</f>
        <v>111</v>
      </c>
      <c r="P11" s="18">
        <f t="shared" ref="P11:P34" si="1">O11/$O$35</f>
        <v>2.7896456396079416E-2</v>
      </c>
    </row>
    <row r="12" spans="1:32" ht="17.25" customHeight="1" x14ac:dyDescent="0.25">
      <c r="A12" s="19" t="s">
        <v>27</v>
      </c>
      <c r="B12" s="17">
        <f>'[2]DP8 CAIHUASI S1'!B12+'[2]DP6 CAIHUASI S2'!B12</f>
        <v>19</v>
      </c>
      <c r="C12" s="17">
        <f>'[2]DP8 CAIHUASI S1'!C12+'[2]DP6 CAIHUASI S2'!C12</f>
        <v>2</v>
      </c>
      <c r="D12" s="17">
        <f>'[2]DP8 CAIHUASI S1'!D12+'[2]DP6 CAIHUASI S2'!D12</f>
        <v>6</v>
      </c>
      <c r="E12" s="17">
        <f>'[2]DP8 CAIHUASI S1'!E12+'[2]DP6 CAIHUASI S2'!E12</f>
        <v>0</v>
      </c>
      <c r="F12" s="17">
        <f>'[2]DP8 CAIHUASI S1'!F12+'[2]DP6 CAIHUASI S2'!F12</f>
        <v>6</v>
      </c>
      <c r="G12" s="17">
        <f>'[2]DP8 CAIHUASI S1'!G12+'[2]DP6 CAIHUASI S2'!G12</f>
        <v>39</v>
      </c>
      <c r="H12" s="17">
        <f>'[2]DP8 CAIHUASI S1'!H12+'[2]DP6 CAIHUASI S2'!H12</f>
        <v>1</v>
      </c>
      <c r="I12" s="17">
        <f>'[2]DP8 CAIHUASI S1'!I12+'[2]DP6 CAIHUASI S2'!I12</f>
        <v>9</v>
      </c>
      <c r="J12" s="17">
        <f>'[2]DP8 CAIHUASI S1'!J12+'[2]DP6 CAIHUASI S2'!J12</f>
        <v>15</v>
      </c>
      <c r="K12" s="17">
        <f>'[2]DP8 CAIHUASI S1'!K12+'[2]DP6 CAIHUASI S2'!K12</f>
        <v>10</v>
      </c>
      <c r="L12" s="17">
        <f>'[2]DP8 CAIHUASI S1'!L12+'[2]DP6 CAIHUASI S2'!L12</f>
        <v>3</v>
      </c>
      <c r="M12" s="17">
        <f>'[2]DP8 CAIHUASI S1'!M12+'[2]DP6 CAIHUASI S2'!M12</f>
        <v>0</v>
      </c>
      <c r="N12" s="17">
        <f>'[2]DP8 CAIHUASI S1'!N12+'[2]DP6 CAIHUASI S2'!N12</f>
        <v>0</v>
      </c>
      <c r="O12" s="17">
        <f t="shared" si="0"/>
        <v>110</v>
      </c>
      <c r="P12" s="18">
        <f t="shared" si="1"/>
        <v>2.764513696908771E-2</v>
      </c>
    </row>
    <row r="13" spans="1:32" ht="17.25" customHeight="1" x14ac:dyDescent="0.25">
      <c r="A13" s="19" t="s">
        <v>28</v>
      </c>
      <c r="B13" s="17">
        <f>'[2]DP8 CAIHUASI S1'!B13+'[2]DP6 CAIHUASI S2'!B13</f>
        <v>13</v>
      </c>
      <c r="C13" s="17">
        <f>'[2]DP8 CAIHUASI S1'!C13+'[2]DP6 CAIHUASI S2'!C13</f>
        <v>3</v>
      </c>
      <c r="D13" s="17">
        <f>'[2]DP8 CAIHUASI S1'!D13+'[2]DP6 CAIHUASI S2'!D13</f>
        <v>5</v>
      </c>
      <c r="E13" s="17">
        <f>'[2]DP8 CAIHUASI S1'!E13+'[2]DP6 CAIHUASI S2'!E13</f>
        <v>0</v>
      </c>
      <c r="F13" s="17">
        <f>'[2]DP8 CAIHUASI S1'!F13+'[2]DP6 CAIHUASI S2'!F13</f>
        <v>4</v>
      </c>
      <c r="G13" s="17">
        <f>'[2]DP8 CAIHUASI S1'!G13+'[2]DP6 CAIHUASI S2'!G13</f>
        <v>56</v>
      </c>
      <c r="H13" s="17">
        <f>'[2]DP8 CAIHUASI S1'!H13+'[2]DP6 CAIHUASI S2'!H13</f>
        <v>1</v>
      </c>
      <c r="I13" s="17">
        <f>'[2]DP8 CAIHUASI S1'!I13+'[2]DP6 CAIHUASI S2'!I13</f>
        <v>4</v>
      </c>
      <c r="J13" s="17">
        <f>'[2]DP8 CAIHUASI S1'!J13+'[2]DP6 CAIHUASI S2'!J13</f>
        <v>9</v>
      </c>
      <c r="K13" s="17">
        <f>'[2]DP8 CAIHUASI S1'!K13+'[2]DP6 CAIHUASI S2'!K13</f>
        <v>7</v>
      </c>
      <c r="L13" s="17">
        <f>'[2]DP8 CAIHUASI S1'!L13+'[2]DP6 CAIHUASI S2'!L13</f>
        <v>2</v>
      </c>
      <c r="M13" s="17">
        <f>'[2]DP8 CAIHUASI S1'!M13+'[2]DP6 CAIHUASI S2'!M13</f>
        <v>0</v>
      </c>
      <c r="N13" s="17">
        <f>'[2]DP8 CAIHUASI S1'!N13+'[2]DP6 CAIHUASI S2'!N13</f>
        <v>0</v>
      </c>
      <c r="O13" s="17">
        <f t="shared" si="0"/>
        <v>104</v>
      </c>
      <c r="P13" s="18">
        <f t="shared" si="1"/>
        <v>2.6137220407137472E-2</v>
      </c>
    </row>
    <row r="14" spans="1:32" ht="17.25" customHeight="1" x14ac:dyDescent="0.25">
      <c r="A14" s="19" t="s">
        <v>29</v>
      </c>
      <c r="B14" s="17">
        <f>'[2]DP8 CAIHUASI S1'!B14+'[2]DP6 CAIHUASI S2'!B14</f>
        <v>20</v>
      </c>
      <c r="C14" s="17">
        <f>'[2]DP8 CAIHUASI S1'!C14+'[2]DP6 CAIHUASI S2'!C14</f>
        <v>2</v>
      </c>
      <c r="D14" s="17">
        <f>'[2]DP8 CAIHUASI S1'!D14+'[2]DP6 CAIHUASI S2'!D14</f>
        <v>12</v>
      </c>
      <c r="E14" s="17">
        <f>'[2]DP8 CAIHUASI S1'!E14+'[2]DP6 CAIHUASI S2'!E14</f>
        <v>0</v>
      </c>
      <c r="F14" s="17">
        <f>'[2]DP8 CAIHUASI S1'!F14+'[2]DP6 CAIHUASI S2'!F14</f>
        <v>1</v>
      </c>
      <c r="G14" s="17">
        <f>'[2]DP8 CAIHUASI S1'!G14+'[2]DP6 CAIHUASI S2'!G14</f>
        <v>31</v>
      </c>
      <c r="H14" s="17">
        <f>'[2]DP8 CAIHUASI S1'!H14+'[2]DP6 CAIHUASI S2'!H14</f>
        <v>0</v>
      </c>
      <c r="I14" s="17">
        <f>'[2]DP8 CAIHUASI S1'!I14+'[2]DP6 CAIHUASI S2'!I14</f>
        <v>4</v>
      </c>
      <c r="J14" s="17">
        <f>'[2]DP8 CAIHUASI S1'!J14+'[2]DP6 CAIHUASI S2'!J14</f>
        <v>9</v>
      </c>
      <c r="K14" s="17">
        <f>'[2]DP8 CAIHUASI S1'!K14+'[2]DP6 CAIHUASI S2'!K14</f>
        <v>7</v>
      </c>
      <c r="L14" s="17">
        <f>'[2]DP8 CAIHUASI S1'!L14+'[2]DP6 CAIHUASI S2'!L14</f>
        <v>1</v>
      </c>
      <c r="M14" s="17">
        <f>'[2]DP8 CAIHUASI S1'!M14+'[2]DP6 CAIHUASI S2'!M14</f>
        <v>0</v>
      </c>
      <c r="N14" s="17">
        <f>'[2]DP8 CAIHUASI S1'!N14+'[2]DP6 CAIHUASI S2'!N14</f>
        <v>0</v>
      </c>
      <c r="O14" s="17">
        <f t="shared" si="0"/>
        <v>87</v>
      </c>
      <c r="P14" s="18">
        <f t="shared" si="1"/>
        <v>2.1864790148278461E-2</v>
      </c>
    </row>
    <row r="15" spans="1:32" ht="17.25" customHeight="1" x14ac:dyDescent="0.25">
      <c r="A15" s="19" t="s">
        <v>30</v>
      </c>
      <c r="B15" s="17">
        <f>'[2]DP8 CAIHUASI S1'!B15+'[2]DP6 CAIHUASI S2'!B15</f>
        <v>15</v>
      </c>
      <c r="C15" s="17">
        <f>'[2]DP8 CAIHUASI S1'!C15+'[2]DP6 CAIHUASI S2'!C15</f>
        <v>9</v>
      </c>
      <c r="D15" s="17">
        <f>'[2]DP8 CAIHUASI S1'!D15+'[2]DP6 CAIHUASI S2'!D15</f>
        <v>12</v>
      </c>
      <c r="E15" s="17">
        <f>'[2]DP8 CAIHUASI S1'!E15+'[2]DP6 CAIHUASI S2'!E15</f>
        <v>0</v>
      </c>
      <c r="F15" s="17">
        <f>'[2]DP8 CAIHUASI S1'!F15+'[2]DP6 CAIHUASI S2'!F15</f>
        <v>1</v>
      </c>
      <c r="G15" s="17">
        <f>'[2]DP8 CAIHUASI S1'!G15+'[2]DP6 CAIHUASI S2'!G15</f>
        <v>19</v>
      </c>
      <c r="H15" s="17">
        <f>'[2]DP8 CAIHUASI S1'!H15+'[2]DP6 CAIHUASI S2'!H15</f>
        <v>2</v>
      </c>
      <c r="I15" s="17">
        <f>'[2]DP8 CAIHUASI S1'!I15+'[2]DP6 CAIHUASI S2'!I15</f>
        <v>14</v>
      </c>
      <c r="J15" s="17">
        <f>'[2]DP8 CAIHUASI S1'!J15+'[2]DP6 CAIHUASI S2'!J15</f>
        <v>16</v>
      </c>
      <c r="K15" s="17">
        <f>'[2]DP8 CAIHUASI S1'!K15+'[2]DP6 CAIHUASI S2'!K15</f>
        <v>17</v>
      </c>
      <c r="L15" s="17">
        <f>'[2]DP8 CAIHUASI S1'!L15+'[2]DP6 CAIHUASI S2'!L15</f>
        <v>4</v>
      </c>
      <c r="M15" s="17">
        <f>'[2]DP8 CAIHUASI S1'!M15+'[2]DP6 CAIHUASI S2'!M15</f>
        <v>0</v>
      </c>
      <c r="N15" s="17">
        <f>'[2]DP8 CAIHUASI S1'!N15+'[2]DP6 CAIHUASI S2'!N15</f>
        <v>0</v>
      </c>
      <c r="O15" s="17">
        <f t="shared" si="0"/>
        <v>109</v>
      </c>
      <c r="P15" s="18">
        <f t="shared" si="1"/>
        <v>2.7393817542096004E-2</v>
      </c>
    </row>
    <row r="16" spans="1:32" ht="17.25" customHeight="1" x14ac:dyDescent="0.25">
      <c r="A16" s="19" t="s">
        <v>31</v>
      </c>
      <c r="B16" s="17">
        <f>'[2]DP8 CAIHUASI S1'!B16+'[2]DP6 CAIHUASI S2'!B16</f>
        <v>25</v>
      </c>
      <c r="C16" s="17">
        <f>'[2]DP8 CAIHUASI S1'!C16+'[2]DP6 CAIHUASI S2'!C16</f>
        <v>7</v>
      </c>
      <c r="D16" s="17">
        <f>'[2]DP8 CAIHUASI S1'!D16+'[2]DP6 CAIHUASI S2'!D16</f>
        <v>19</v>
      </c>
      <c r="E16" s="17">
        <f>'[2]DP8 CAIHUASI S1'!E16+'[2]DP6 CAIHUASI S2'!E16</f>
        <v>0</v>
      </c>
      <c r="F16" s="17">
        <f>'[2]DP8 CAIHUASI S1'!F16+'[2]DP6 CAIHUASI S2'!F16</f>
        <v>5</v>
      </c>
      <c r="G16" s="17">
        <f>'[2]DP8 CAIHUASI S1'!G16+'[2]DP6 CAIHUASI S2'!G16</f>
        <v>10</v>
      </c>
      <c r="H16" s="17">
        <f>'[2]DP8 CAIHUASI S1'!H16+'[2]DP6 CAIHUASI S2'!H16</f>
        <v>4</v>
      </c>
      <c r="I16" s="17">
        <f>'[2]DP8 CAIHUASI S1'!I16+'[2]DP6 CAIHUASI S2'!I16</f>
        <v>18</v>
      </c>
      <c r="J16" s="17">
        <f>'[2]DP8 CAIHUASI S1'!J16+'[2]DP6 CAIHUASI S2'!J16</f>
        <v>25</v>
      </c>
      <c r="K16" s="17">
        <f>'[2]DP8 CAIHUASI S1'!K16+'[2]DP6 CAIHUASI S2'!K16</f>
        <v>39</v>
      </c>
      <c r="L16" s="17">
        <f>'[2]DP8 CAIHUASI S1'!L16+'[2]DP6 CAIHUASI S2'!L16</f>
        <v>6</v>
      </c>
      <c r="M16" s="17">
        <f>'[2]DP8 CAIHUASI S1'!M16+'[2]DP6 CAIHUASI S2'!M16</f>
        <v>2</v>
      </c>
      <c r="N16" s="17">
        <f>'[2]DP8 CAIHUASI S1'!N16+'[2]DP6 CAIHUASI S2'!N16</f>
        <v>0</v>
      </c>
      <c r="O16" s="17">
        <f t="shared" si="0"/>
        <v>160</v>
      </c>
      <c r="P16" s="18">
        <f t="shared" si="1"/>
        <v>4.0211108318673035E-2</v>
      </c>
    </row>
    <row r="17" spans="1:16" ht="17.25" customHeight="1" x14ac:dyDescent="0.25">
      <c r="A17" s="19" t="s">
        <v>32</v>
      </c>
      <c r="B17" s="17">
        <f>'[2]DP8 CAIHUASI S1'!B17+'[2]DP6 CAIHUASI S2'!B17</f>
        <v>49</v>
      </c>
      <c r="C17" s="17">
        <f>'[2]DP8 CAIHUASI S1'!C17+'[2]DP6 CAIHUASI S2'!C17</f>
        <v>2</v>
      </c>
      <c r="D17" s="17">
        <f>'[2]DP8 CAIHUASI S1'!D17+'[2]DP6 CAIHUASI S2'!D17</f>
        <v>27</v>
      </c>
      <c r="E17" s="17">
        <f>'[2]DP8 CAIHUASI S1'!E17+'[2]DP6 CAIHUASI S2'!E17</f>
        <v>0</v>
      </c>
      <c r="F17" s="17">
        <f>'[2]DP8 CAIHUASI S1'!F17+'[2]DP6 CAIHUASI S2'!F17</f>
        <v>1</v>
      </c>
      <c r="G17" s="17">
        <f>'[2]DP8 CAIHUASI S1'!G17+'[2]DP6 CAIHUASI S2'!G17</f>
        <v>9</v>
      </c>
      <c r="H17" s="17">
        <f>'[2]DP8 CAIHUASI S1'!H17+'[2]DP6 CAIHUASI S2'!H17</f>
        <v>2</v>
      </c>
      <c r="I17" s="17">
        <f>'[2]DP8 CAIHUASI S1'!I17+'[2]DP6 CAIHUASI S2'!I17</f>
        <v>7</v>
      </c>
      <c r="J17" s="17">
        <f>'[2]DP8 CAIHUASI S1'!J17+'[2]DP6 CAIHUASI S2'!J17</f>
        <v>18</v>
      </c>
      <c r="K17" s="17">
        <f>'[2]DP8 CAIHUASI S1'!K17+'[2]DP6 CAIHUASI S2'!K17</f>
        <v>18</v>
      </c>
      <c r="L17" s="17">
        <f>'[2]DP8 CAIHUASI S1'!L17+'[2]DP6 CAIHUASI S2'!L17</f>
        <v>4</v>
      </c>
      <c r="M17" s="17">
        <f>'[2]DP8 CAIHUASI S1'!M17+'[2]DP6 CAIHUASI S2'!M17</f>
        <v>4</v>
      </c>
      <c r="N17" s="17">
        <f>'[2]DP8 CAIHUASI S1'!N17+'[2]DP6 CAIHUASI S2'!N17</f>
        <v>0</v>
      </c>
      <c r="O17" s="17">
        <f t="shared" si="0"/>
        <v>141</v>
      </c>
      <c r="P17" s="18">
        <f t="shared" si="1"/>
        <v>3.5436039205830612E-2</v>
      </c>
    </row>
    <row r="18" spans="1:16" ht="17.25" customHeight="1" x14ac:dyDescent="0.25">
      <c r="A18" s="19" t="s">
        <v>33</v>
      </c>
      <c r="B18" s="17">
        <f>'[2]DP8 CAIHUASI S1'!B18+'[2]DP6 CAIHUASI S2'!B18</f>
        <v>38</v>
      </c>
      <c r="C18" s="17">
        <f>'[2]DP8 CAIHUASI S1'!C18+'[2]DP6 CAIHUASI S2'!C18</f>
        <v>6</v>
      </c>
      <c r="D18" s="17">
        <f>'[2]DP8 CAIHUASI S1'!D18+'[2]DP6 CAIHUASI S2'!D18</f>
        <v>26</v>
      </c>
      <c r="E18" s="17">
        <f>'[2]DP8 CAIHUASI S1'!E18+'[2]DP6 CAIHUASI S2'!E18</f>
        <v>0</v>
      </c>
      <c r="F18" s="17">
        <f>'[2]DP8 CAIHUASI S1'!F18+'[2]DP6 CAIHUASI S2'!F18</f>
        <v>2</v>
      </c>
      <c r="G18" s="17">
        <f>'[2]DP8 CAIHUASI S1'!G18+'[2]DP6 CAIHUASI S2'!G18</f>
        <v>10</v>
      </c>
      <c r="H18" s="17">
        <f>'[2]DP8 CAIHUASI S1'!H18+'[2]DP6 CAIHUASI S2'!H18</f>
        <v>2</v>
      </c>
      <c r="I18" s="17">
        <f>'[2]DP8 CAIHUASI S1'!I18+'[2]DP6 CAIHUASI S2'!I18</f>
        <v>8</v>
      </c>
      <c r="J18" s="17">
        <f>'[2]DP8 CAIHUASI S1'!J18+'[2]DP6 CAIHUASI S2'!J18</f>
        <v>12</v>
      </c>
      <c r="K18" s="17">
        <f>'[2]DP8 CAIHUASI S1'!K18+'[2]DP6 CAIHUASI S2'!K18</f>
        <v>29</v>
      </c>
      <c r="L18" s="17">
        <f>'[2]DP8 CAIHUASI S1'!L18+'[2]DP6 CAIHUASI S2'!L18</f>
        <v>3</v>
      </c>
      <c r="M18" s="17">
        <f>'[2]DP8 CAIHUASI S1'!M18+'[2]DP6 CAIHUASI S2'!M18</f>
        <v>0</v>
      </c>
      <c r="N18" s="17">
        <f>'[2]DP8 CAIHUASI S1'!N18+'[2]DP6 CAIHUASI S2'!N18</f>
        <v>0</v>
      </c>
      <c r="O18" s="17">
        <f t="shared" si="0"/>
        <v>136</v>
      </c>
      <c r="P18" s="18">
        <f t="shared" si="1"/>
        <v>3.4179442070872076E-2</v>
      </c>
    </row>
    <row r="19" spans="1:16" ht="17.25" customHeight="1" x14ac:dyDescent="0.25">
      <c r="A19" s="19" t="s">
        <v>34</v>
      </c>
      <c r="B19" s="17">
        <f>'[2]DP8 CAIHUASI S1'!B19+'[2]DP6 CAIHUASI S2'!B19</f>
        <v>71</v>
      </c>
      <c r="C19" s="17">
        <f>'[2]DP8 CAIHUASI S1'!C19+'[2]DP6 CAIHUASI S2'!C19</f>
        <v>12</v>
      </c>
      <c r="D19" s="17">
        <f>'[2]DP8 CAIHUASI S1'!D19+'[2]DP6 CAIHUASI S2'!D19</f>
        <v>31</v>
      </c>
      <c r="E19" s="17">
        <f>'[2]DP8 CAIHUASI S1'!E19+'[2]DP6 CAIHUASI S2'!E19</f>
        <v>0</v>
      </c>
      <c r="F19" s="17">
        <f>'[2]DP8 CAIHUASI S1'!F19+'[2]DP6 CAIHUASI S2'!F19</f>
        <v>1</v>
      </c>
      <c r="G19" s="17">
        <f>'[2]DP8 CAIHUASI S1'!G19+'[2]DP6 CAIHUASI S2'!G19</f>
        <v>10</v>
      </c>
      <c r="H19" s="17">
        <f>'[2]DP8 CAIHUASI S1'!H19+'[2]DP6 CAIHUASI S2'!H19</f>
        <v>4</v>
      </c>
      <c r="I19" s="17">
        <f>'[2]DP8 CAIHUASI S1'!I19+'[2]DP6 CAIHUASI S2'!I19</f>
        <v>6</v>
      </c>
      <c r="J19" s="17">
        <f>'[2]DP8 CAIHUASI S1'!J19+'[2]DP6 CAIHUASI S2'!J19</f>
        <v>10</v>
      </c>
      <c r="K19" s="17">
        <f>'[2]DP8 CAIHUASI S1'!K19+'[2]DP6 CAIHUASI S2'!K19</f>
        <v>28</v>
      </c>
      <c r="L19" s="17">
        <f>'[2]DP8 CAIHUASI S1'!L19+'[2]DP6 CAIHUASI S2'!L19</f>
        <v>5</v>
      </c>
      <c r="M19" s="17">
        <f>'[2]DP8 CAIHUASI S1'!M19+'[2]DP6 CAIHUASI S2'!M19</f>
        <v>4</v>
      </c>
      <c r="N19" s="17">
        <f>'[2]DP8 CAIHUASI S1'!N19+'[2]DP6 CAIHUASI S2'!N19</f>
        <v>0</v>
      </c>
      <c r="O19" s="17">
        <f t="shared" si="0"/>
        <v>182</v>
      </c>
      <c r="P19" s="18">
        <f t="shared" si="1"/>
        <v>4.5740135712490575E-2</v>
      </c>
    </row>
    <row r="20" spans="1:16" ht="17.25" customHeight="1" x14ac:dyDescent="0.25">
      <c r="A20" s="19" t="s">
        <v>35</v>
      </c>
      <c r="B20" s="17">
        <f>'[2]DP8 CAIHUASI S1'!B20+'[2]DP6 CAIHUASI S2'!B20</f>
        <v>65</v>
      </c>
      <c r="C20" s="17">
        <f>'[2]DP8 CAIHUASI S1'!C20+'[2]DP6 CAIHUASI S2'!C20</f>
        <v>9</v>
      </c>
      <c r="D20" s="17">
        <f>'[2]DP8 CAIHUASI S1'!D20+'[2]DP6 CAIHUASI S2'!D20</f>
        <v>35</v>
      </c>
      <c r="E20" s="17">
        <f>'[2]DP8 CAIHUASI S1'!E20+'[2]DP6 CAIHUASI S2'!E20</f>
        <v>0</v>
      </c>
      <c r="F20" s="17">
        <f>'[2]DP8 CAIHUASI S1'!F20+'[2]DP6 CAIHUASI S2'!F20</f>
        <v>0</v>
      </c>
      <c r="G20" s="17">
        <f>'[2]DP8 CAIHUASI S1'!G20+'[2]DP6 CAIHUASI S2'!G20</f>
        <v>12</v>
      </c>
      <c r="H20" s="17">
        <f>'[2]DP8 CAIHUASI S1'!H20+'[2]DP6 CAIHUASI S2'!H20</f>
        <v>2</v>
      </c>
      <c r="I20" s="17">
        <f>'[2]DP8 CAIHUASI S1'!I20+'[2]DP6 CAIHUASI S2'!I20</f>
        <v>8</v>
      </c>
      <c r="J20" s="17">
        <f>'[2]DP8 CAIHUASI S1'!J20+'[2]DP6 CAIHUASI S2'!J20</f>
        <v>7</v>
      </c>
      <c r="K20" s="17">
        <f>'[2]DP8 CAIHUASI S1'!K20+'[2]DP6 CAIHUASI S2'!K20</f>
        <v>21</v>
      </c>
      <c r="L20" s="17">
        <f>'[2]DP8 CAIHUASI S1'!L20+'[2]DP6 CAIHUASI S2'!L20</f>
        <v>3</v>
      </c>
      <c r="M20" s="17">
        <f>'[2]DP8 CAIHUASI S1'!M20+'[2]DP6 CAIHUASI S2'!M20</f>
        <v>0</v>
      </c>
      <c r="N20" s="17">
        <f>'[2]DP8 CAIHUASI S1'!N20+'[2]DP6 CAIHUASI S2'!N20</f>
        <v>0</v>
      </c>
      <c r="O20" s="17">
        <f t="shared" si="0"/>
        <v>162</v>
      </c>
      <c r="P20" s="18">
        <f t="shared" si="1"/>
        <v>4.0713747172656446E-2</v>
      </c>
    </row>
    <row r="21" spans="1:16" ht="17.25" customHeight="1" x14ac:dyDescent="0.25">
      <c r="A21" s="19" t="s">
        <v>36</v>
      </c>
      <c r="B21" s="17">
        <f>'[2]DP8 CAIHUASI S1'!B21+'[2]DP6 CAIHUASI S2'!B21</f>
        <v>67</v>
      </c>
      <c r="C21" s="17">
        <f>'[2]DP8 CAIHUASI S1'!C21+'[2]DP6 CAIHUASI S2'!C21</f>
        <v>5</v>
      </c>
      <c r="D21" s="17">
        <f>'[2]DP8 CAIHUASI S1'!D21+'[2]DP6 CAIHUASI S2'!D21</f>
        <v>29</v>
      </c>
      <c r="E21" s="17">
        <f>'[2]DP8 CAIHUASI S1'!E21+'[2]DP6 CAIHUASI S2'!E21</f>
        <v>0</v>
      </c>
      <c r="F21" s="17">
        <f>'[2]DP8 CAIHUASI S1'!F21+'[2]DP6 CAIHUASI S2'!F21</f>
        <v>5</v>
      </c>
      <c r="G21" s="17">
        <f>'[2]DP8 CAIHUASI S1'!G21+'[2]DP6 CAIHUASI S2'!G21</f>
        <v>20</v>
      </c>
      <c r="H21" s="17">
        <f>'[2]DP8 CAIHUASI S1'!H21+'[2]DP6 CAIHUASI S2'!H21</f>
        <v>1</v>
      </c>
      <c r="I21" s="17">
        <f>'[2]DP8 CAIHUASI S1'!I21+'[2]DP6 CAIHUASI S2'!I21</f>
        <v>5</v>
      </c>
      <c r="J21" s="17">
        <f>'[2]DP8 CAIHUASI S1'!J21+'[2]DP6 CAIHUASI S2'!J21</f>
        <v>8</v>
      </c>
      <c r="K21" s="17">
        <f>'[2]DP8 CAIHUASI S1'!K21+'[2]DP6 CAIHUASI S2'!K21</f>
        <v>13</v>
      </c>
      <c r="L21" s="17">
        <f>'[2]DP8 CAIHUASI S1'!L21+'[2]DP6 CAIHUASI S2'!L21</f>
        <v>1</v>
      </c>
      <c r="M21" s="17">
        <f>'[2]DP8 CAIHUASI S1'!M21+'[2]DP6 CAIHUASI S2'!M21</f>
        <v>2</v>
      </c>
      <c r="N21" s="17">
        <f>'[2]DP8 CAIHUASI S1'!N21+'[2]DP6 CAIHUASI S2'!N21</f>
        <v>0</v>
      </c>
      <c r="O21" s="17">
        <f t="shared" si="0"/>
        <v>156</v>
      </c>
      <c r="P21" s="18">
        <f t="shared" si="1"/>
        <v>3.9205830610706205E-2</v>
      </c>
    </row>
    <row r="22" spans="1:16" ht="17.25" customHeight="1" x14ac:dyDescent="0.25">
      <c r="A22" s="19" t="s">
        <v>37</v>
      </c>
      <c r="B22" s="17">
        <f>'[2]DP8 CAIHUASI S1'!B22+'[2]DP6 CAIHUASI S2'!B22</f>
        <v>84</v>
      </c>
      <c r="C22" s="17">
        <f>'[2]DP8 CAIHUASI S1'!C22+'[2]DP6 CAIHUASI S2'!C22</f>
        <v>7</v>
      </c>
      <c r="D22" s="17">
        <f>'[2]DP8 CAIHUASI S1'!D22+'[2]DP6 CAIHUASI S2'!D22</f>
        <v>32</v>
      </c>
      <c r="E22" s="17">
        <f>'[2]DP8 CAIHUASI S1'!E22+'[2]DP6 CAIHUASI S2'!E22</f>
        <v>0</v>
      </c>
      <c r="F22" s="17">
        <f>'[2]DP8 CAIHUASI S1'!F22+'[2]DP6 CAIHUASI S2'!F22</f>
        <v>6</v>
      </c>
      <c r="G22" s="17">
        <f>'[2]DP8 CAIHUASI S1'!G22+'[2]DP6 CAIHUASI S2'!G22</f>
        <v>18</v>
      </c>
      <c r="H22" s="17">
        <f>'[2]DP8 CAIHUASI S1'!H22+'[2]DP6 CAIHUASI S2'!H22</f>
        <v>3</v>
      </c>
      <c r="I22" s="17">
        <f>'[2]DP8 CAIHUASI S1'!I22+'[2]DP6 CAIHUASI S2'!I22</f>
        <v>5</v>
      </c>
      <c r="J22" s="17">
        <f>'[2]DP8 CAIHUASI S1'!J22+'[2]DP6 CAIHUASI S2'!J22</f>
        <v>7</v>
      </c>
      <c r="K22" s="17">
        <f>'[2]DP8 CAIHUASI S1'!K22+'[2]DP6 CAIHUASI S2'!K22</f>
        <v>12</v>
      </c>
      <c r="L22" s="17">
        <f>'[2]DP8 CAIHUASI S1'!L22+'[2]DP6 CAIHUASI S2'!L22</f>
        <v>5</v>
      </c>
      <c r="M22" s="17">
        <f>'[2]DP8 CAIHUASI S1'!M22+'[2]DP6 CAIHUASI S2'!M22</f>
        <v>3</v>
      </c>
      <c r="N22" s="17">
        <f>'[2]DP8 CAIHUASI S1'!N22+'[2]DP6 CAIHUASI S2'!N22</f>
        <v>0</v>
      </c>
      <c r="O22" s="17">
        <f t="shared" si="0"/>
        <v>182</v>
      </c>
      <c r="P22" s="18">
        <f t="shared" si="1"/>
        <v>4.5740135712490575E-2</v>
      </c>
    </row>
    <row r="23" spans="1:16" ht="17.25" customHeight="1" x14ac:dyDescent="0.25">
      <c r="A23" s="19" t="s">
        <v>38</v>
      </c>
      <c r="B23" s="17">
        <f>'[2]DP8 CAIHUASI S1'!B23+'[2]DP6 CAIHUASI S2'!B23</f>
        <v>62</v>
      </c>
      <c r="C23" s="17">
        <f>'[2]DP8 CAIHUASI S1'!C23+'[2]DP6 CAIHUASI S2'!C23</f>
        <v>10</v>
      </c>
      <c r="D23" s="17">
        <f>'[2]DP8 CAIHUASI S1'!D23+'[2]DP6 CAIHUASI S2'!D23</f>
        <v>28</v>
      </c>
      <c r="E23" s="17">
        <f>'[2]DP8 CAIHUASI S1'!E23+'[2]DP6 CAIHUASI S2'!E23</f>
        <v>0</v>
      </c>
      <c r="F23" s="17">
        <f>'[2]DP8 CAIHUASI S1'!F23+'[2]DP6 CAIHUASI S2'!F23</f>
        <v>8</v>
      </c>
      <c r="G23" s="17">
        <f>'[2]DP8 CAIHUASI S1'!G23+'[2]DP6 CAIHUASI S2'!G23</f>
        <v>23</v>
      </c>
      <c r="H23" s="17">
        <f>'[2]DP8 CAIHUASI S1'!H23+'[2]DP6 CAIHUASI S2'!H23</f>
        <v>4</v>
      </c>
      <c r="I23" s="17">
        <f>'[2]DP8 CAIHUASI S1'!I23+'[2]DP6 CAIHUASI S2'!I23</f>
        <v>13</v>
      </c>
      <c r="J23" s="17">
        <f>'[2]DP8 CAIHUASI S1'!J23+'[2]DP6 CAIHUASI S2'!J23</f>
        <v>8</v>
      </c>
      <c r="K23" s="17">
        <f>'[2]DP8 CAIHUASI S1'!K23+'[2]DP6 CAIHUASI S2'!K23</f>
        <v>12</v>
      </c>
      <c r="L23" s="17">
        <f>'[2]DP8 CAIHUASI S1'!L23+'[2]DP6 CAIHUASI S2'!L23</f>
        <v>3</v>
      </c>
      <c r="M23" s="17">
        <f>'[2]DP8 CAIHUASI S1'!M23+'[2]DP6 CAIHUASI S2'!M23</f>
        <v>1</v>
      </c>
      <c r="N23" s="17">
        <f>'[2]DP8 CAIHUASI S1'!N23+'[2]DP6 CAIHUASI S2'!N23</f>
        <v>0</v>
      </c>
      <c r="O23" s="17">
        <f t="shared" si="0"/>
        <v>172</v>
      </c>
      <c r="P23" s="18">
        <f t="shared" si="1"/>
        <v>4.322694144257351E-2</v>
      </c>
    </row>
    <row r="24" spans="1:16" ht="17.25" customHeight="1" x14ac:dyDescent="0.25">
      <c r="A24" s="19" t="s">
        <v>39</v>
      </c>
      <c r="B24" s="17">
        <f>'[2]DP8 CAIHUASI S1'!B24+'[2]DP6 CAIHUASI S2'!B24</f>
        <v>81</v>
      </c>
      <c r="C24" s="17">
        <f>'[2]DP8 CAIHUASI S1'!C24+'[2]DP6 CAIHUASI S2'!C24</f>
        <v>8</v>
      </c>
      <c r="D24" s="17">
        <f>'[2]DP8 CAIHUASI S1'!D24+'[2]DP6 CAIHUASI S2'!D24</f>
        <v>41</v>
      </c>
      <c r="E24" s="17">
        <f>'[2]DP8 CAIHUASI S1'!E24+'[2]DP6 CAIHUASI S2'!E24</f>
        <v>0</v>
      </c>
      <c r="F24" s="17">
        <f>'[2]DP8 CAIHUASI S1'!F24+'[2]DP6 CAIHUASI S2'!F24</f>
        <v>5</v>
      </c>
      <c r="G24" s="17">
        <f>'[2]DP8 CAIHUASI S1'!G24+'[2]DP6 CAIHUASI S2'!G24</f>
        <v>26</v>
      </c>
      <c r="H24" s="17">
        <f>'[2]DP8 CAIHUASI S1'!H24+'[2]DP6 CAIHUASI S2'!H24</f>
        <v>2</v>
      </c>
      <c r="I24" s="17">
        <f>'[2]DP8 CAIHUASI S1'!I24+'[2]DP6 CAIHUASI S2'!I24</f>
        <v>9</v>
      </c>
      <c r="J24" s="17">
        <f>'[2]DP8 CAIHUASI S1'!J24+'[2]DP6 CAIHUASI S2'!J24</f>
        <v>9</v>
      </c>
      <c r="K24" s="17">
        <f>'[2]DP8 CAIHUASI S1'!K24+'[2]DP6 CAIHUASI S2'!K24</f>
        <v>22</v>
      </c>
      <c r="L24" s="17">
        <f>'[2]DP8 CAIHUASI S1'!L24+'[2]DP6 CAIHUASI S2'!L24</f>
        <v>5</v>
      </c>
      <c r="M24" s="17">
        <f>'[2]DP8 CAIHUASI S1'!M24+'[2]DP6 CAIHUASI S2'!M24</f>
        <v>2</v>
      </c>
      <c r="N24" s="17">
        <f>'[2]DP8 CAIHUASI S1'!N24+'[2]DP6 CAIHUASI S2'!N24</f>
        <v>0</v>
      </c>
      <c r="O24" s="17">
        <f t="shared" si="0"/>
        <v>210</v>
      </c>
      <c r="P24" s="18">
        <f t="shared" si="1"/>
        <v>5.2777079668258356E-2</v>
      </c>
    </row>
    <row r="25" spans="1:16" ht="17.25" customHeight="1" x14ac:dyDescent="0.25">
      <c r="A25" s="19" t="s">
        <v>40</v>
      </c>
      <c r="B25" s="17">
        <f>'[2]DP8 CAIHUASI S1'!B25+'[2]DP6 CAIHUASI S2'!B25</f>
        <v>102</v>
      </c>
      <c r="C25" s="17">
        <f>'[2]DP8 CAIHUASI S1'!C25+'[2]DP6 CAIHUASI S2'!C25</f>
        <v>13</v>
      </c>
      <c r="D25" s="17">
        <f>'[2]DP8 CAIHUASI S1'!D25+'[2]DP6 CAIHUASI S2'!D25</f>
        <v>29</v>
      </c>
      <c r="E25" s="17">
        <f>'[2]DP8 CAIHUASI S1'!E25+'[2]DP6 CAIHUASI S2'!E25</f>
        <v>0</v>
      </c>
      <c r="F25" s="17">
        <f>'[2]DP8 CAIHUASI S1'!F25+'[2]DP6 CAIHUASI S2'!F25</f>
        <v>12</v>
      </c>
      <c r="G25" s="17">
        <f>'[2]DP8 CAIHUASI S1'!G25+'[2]DP6 CAIHUASI S2'!G25</f>
        <v>17</v>
      </c>
      <c r="H25" s="17">
        <f>'[2]DP8 CAIHUASI S1'!H25+'[2]DP6 CAIHUASI S2'!H25</f>
        <v>8</v>
      </c>
      <c r="I25" s="17">
        <f>'[2]DP8 CAIHUASI S1'!I25+'[2]DP6 CAIHUASI S2'!I25</f>
        <v>8</v>
      </c>
      <c r="J25" s="17">
        <f>'[2]DP8 CAIHUASI S1'!J25+'[2]DP6 CAIHUASI S2'!J25</f>
        <v>12</v>
      </c>
      <c r="K25" s="17">
        <f>'[2]DP8 CAIHUASI S1'!K25+'[2]DP6 CAIHUASI S2'!K25</f>
        <v>23</v>
      </c>
      <c r="L25" s="17">
        <f>'[2]DP8 CAIHUASI S1'!L25+'[2]DP6 CAIHUASI S2'!L25</f>
        <v>5</v>
      </c>
      <c r="M25" s="17">
        <f>'[2]DP8 CAIHUASI S1'!M25+'[2]DP6 CAIHUASI S2'!M25</f>
        <v>0</v>
      </c>
      <c r="N25" s="17">
        <f>'[2]DP8 CAIHUASI S1'!N25+'[2]DP6 CAIHUASI S2'!N25</f>
        <v>0</v>
      </c>
      <c r="O25" s="17">
        <f t="shared" si="0"/>
        <v>229</v>
      </c>
      <c r="P25" s="18">
        <f t="shared" si="1"/>
        <v>5.7552148781100779E-2</v>
      </c>
    </row>
    <row r="26" spans="1:16" ht="17.25" customHeight="1" x14ac:dyDescent="0.25">
      <c r="A26" s="19" t="s">
        <v>41</v>
      </c>
      <c r="B26" s="17">
        <f>'[2]DP8 CAIHUASI S1'!B26+'[2]DP6 CAIHUASI S2'!B26</f>
        <v>92</v>
      </c>
      <c r="C26" s="17">
        <f>'[2]DP8 CAIHUASI S1'!C26+'[2]DP6 CAIHUASI S2'!C26</f>
        <v>9</v>
      </c>
      <c r="D26" s="17">
        <f>'[2]DP8 CAIHUASI S1'!D26+'[2]DP6 CAIHUASI S2'!D26</f>
        <v>31</v>
      </c>
      <c r="E26" s="17">
        <f>'[2]DP8 CAIHUASI S1'!E26+'[2]DP6 CAIHUASI S2'!E26</f>
        <v>0</v>
      </c>
      <c r="F26" s="17">
        <f>'[2]DP8 CAIHUASI S1'!F26+'[2]DP6 CAIHUASI S2'!F26</f>
        <v>0</v>
      </c>
      <c r="G26" s="17">
        <f>'[2]DP8 CAIHUASI S1'!G26+'[2]DP6 CAIHUASI S2'!G26</f>
        <v>29</v>
      </c>
      <c r="H26" s="17">
        <f>'[2]DP8 CAIHUASI S1'!H26+'[2]DP6 CAIHUASI S2'!H26</f>
        <v>1</v>
      </c>
      <c r="I26" s="17">
        <f>'[2]DP8 CAIHUASI S1'!I26+'[2]DP6 CAIHUASI S2'!I26</f>
        <v>8</v>
      </c>
      <c r="J26" s="17">
        <f>'[2]DP8 CAIHUASI S1'!J26+'[2]DP6 CAIHUASI S2'!J26</f>
        <v>18</v>
      </c>
      <c r="K26" s="17">
        <f>'[2]DP8 CAIHUASI S1'!K26+'[2]DP6 CAIHUASI S2'!K26</f>
        <v>24</v>
      </c>
      <c r="L26" s="17">
        <f>'[2]DP8 CAIHUASI S1'!L26+'[2]DP6 CAIHUASI S2'!L26</f>
        <v>5</v>
      </c>
      <c r="M26" s="17">
        <f>'[2]DP8 CAIHUASI S1'!M26+'[2]DP6 CAIHUASI S2'!M26</f>
        <v>3</v>
      </c>
      <c r="N26" s="17">
        <f>'[2]DP8 CAIHUASI S1'!N26+'[2]DP6 CAIHUASI S2'!N26</f>
        <v>0</v>
      </c>
      <c r="O26" s="17">
        <f t="shared" si="0"/>
        <v>220</v>
      </c>
      <c r="P26" s="18">
        <f t="shared" si="1"/>
        <v>5.529027393817542E-2</v>
      </c>
    </row>
    <row r="27" spans="1:16" ht="17.25" customHeight="1" x14ac:dyDescent="0.25">
      <c r="A27" s="28" t="s">
        <v>42</v>
      </c>
      <c r="B27" s="29">
        <f>'[2]DP8 CAIHUASI S1'!B27+'[2]DP6 CAIHUASI S2'!B27</f>
        <v>121</v>
      </c>
      <c r="C27" s="29">
        <f>'[2]DP8 CAIHUASI S1'!C27+'[2]DP6 CAIHUASI S2'!C27</f>
        <v>11</v>
      </c>
      <c r="D27" s="29">
        <f>'[2]DP8 CAIHUASI S1'!D27+'[2]DP6 CAIHUASI S2'!D27</f>
        <v>32</v>
      </c>
      <c r="E27" s="29">
        <f>'[2]DP8 CAIHUASI S1'!E27+'[2]DP6 CAIHUASI S2'!E27</f>
        <v>0</v>
      </c>
      <c r="F27" s="29">
        <f>'[2]DP8 CAIHUASI S1'!F27+'[2]DP6 CAIHUASI S2'!F27</f>
        <v>3</v>
      </c>
      <c r="G27" s="29">
        <f>'[2]DP8 CAIHUASI S1'!G27+'[2]DP6 CAIHUASI S2'!G27</f>
        <v>34</v>
      </c>
      <c r="H27" s="29">
        <f>'[2]DP8 CAIHUASI S1'!H27+'[2]DP6 CAIHUASI S2'!H27</f>
        <v>0</v>
      </c>
      <c r="I27" s="29">
        <f>'[2]DP8 CAIHUASI S1'!I27+'[2]DP6 CAIHUASI S2'!I27</f>
        <v>13</v>
      </c>
      <c r="J27" s="29">
        <f>'[2]DP8 CAIHUASI S1'!J27+'[2]DP6 CAIHUASI S2'!J27</f>
        <v>20</v>
      </c>
      <c r="K27" s="29">
        <f>'[2]DP8 CAIHUASI S1'!K27+'[2]DP6 CAIHUASI S2'!K27</f>
        <v>27</v>
      </c>
      <c r="L27" s="29">
        <f>'[2]DP8 CAIHUASI S1'!L27+'[2]DP6 CAIHUASI S2'!L27</f>
        <v>0</v>
      </c>
      <c r="M27" s="29">
        <f>'[2]DP8 CAIHUASI S1'!M27+'[2]DP6 CAIHUASI S2'!M27</f>
        <v>3</v>
      </c>
      <c r="N27" s="29">
        <f>'[2]DP8 CAIHUASI S1'!N27+'[2]DP6 CAIHUASI S2'!N27</f>
        <v>0</v>
      </c>
      <c r="O27" s="29">
        <f t="shared" si="0"/>
        <v>264</v>
      </c>
      <c r="P27" s="30">
        <f t="shared" si="1"/>
        <v>6.6348328725810507E-2</v>
      </c>
    </row>
    <row r="28" spans="1:16" ht="17.25" customHeight="1" x14ac:dyDescent="0.25">
      <c r="A28" s="19" t="s">
        <v>43</v>
      </c>
      <c r="B28" s="17">
        <f>'[2]DP8 CAIHUASI S1'!B28+'[2]DP6 CAIHUASI S2'!B28</f>
        <v>97</v>
      </c>
      <c r="C28" s="17">
        <f>'[2]DP8 CAIHUASI S1'!C28+'[2]DP6 CAIHUASI S2'!C28</f>
        <v>11</v>
      </c>
      <c r="D28" s="17">
        <f>'[2]DP8 CAIHUASI S1'!D28+'[2]DP6 CAIHUASI S2'!D28</f>
        <v>40</v>
      </c>
      <c r="E28" s="17">
        <f>'[2]DP8 CAIHUASI S1'!E28+'[2]DP6 CAIHUASI S2'!E28</f>
        <v>0</v>
      </c>
      <c r="F28" s="17">
        <f>'[2]DP8 CAIHUASI S1'!F28+'[2]DP6 CAIHUASI S2'!F28</f>
        <v>3</v>
      </c>
      <c r="G28" s="17">
        <f>'[2]DP8 CAIHUASI S1'!G28+'[2]DP6 CAIHUASI S2'!G28</f>
        <v>28</v>
      </c>
      <c r="H28" s="17">
        <f>'[2]DP8 CAIHUASI S1'!H28+'[2]DP6 CAIHUASI S2'!H28</f>
        <v>2</v>
      </c>
      <c r="I28" s="17">
        <f>'[2]DP8 CAIHUASI S1'!I28+'[2]DP6 CAIHUASI S2'!I28</f>
        <v>8</v>
      </c>
      <c r="J28" s="17">
        <f>'[2]DP8 CAIHUASI S1'!J28+'[2]DP6 CAIHUASI S2'!J28</f>
        <v>10</v>
      </c>
      <c r="K28" s="17">
        <f>'[2]DP8 CAIHUASI S1'!K28+'[2]DP6 CAIHUASI S2'!K28</f>
        <v>23</v>
      </c>
      <c r="L28" s="17">
        <f>'[2]DP8 CAIHUASI S1'!L28+'[2]DP6 CAIHUASI S2'!L28</f>
        <v>7</v>
      </c>
      <c r="M28" s="17">
        <f>'[2]DP8 CAIHUASI S1'!M28+'[2]DP6 CAIHUASI S2'!M28</f>
        <v>1</v>
      </c>
      <c r="N28" s="17">
        <f>'[2]DP8 CAIHUASI S1'!N28+'[2]DP6 CAIHUASI S2'!N28</f>
        <v>0</v>
      </c>
      <c r="O28" s="17">
        <f t="shared" si="0"/>
        <v>230</v>
      </c>
      <c r="P28" s="18">
        <f t="shared" si="1"/>
        <v>5.7803468208092484E-2</v>
      </c>
    </row>
    <row r="29" spans="1:16" ht="17.25" customHeight="1" x14ac:dyDescent="0.25">
      <c r="A29" s="19" t="s">
        <v>44</v>
      </c>
      <c r="B29" s="17">
        <f>'[2]DP8 CAIHUASI S1'!B29+'[2]DP6 CAIHUASI S2'!B29</f>
        <v>128</v>
      </c>
      <c r="C29" s="17">
        <f>'[2]DP8 CAIHUASI S1'!C29+'[2]DP6 CAIHUASI S2'!C29</f>
        <v>12</v>
      </c>
      <c r="D29" s="17">
        <f>'[2]DP8 CAIHUASI S1'!D29+'[2]DP6 CAIHUASI S2'!D29</f>
        <v>33</v>
      </c>
      <c r="E29" s="17">
        <f>'[2]DP8 CAIHUASI S1'!E29+'[2]DP6 CAIHUASI S2'!E29</f>
        <v>0</v>
      </c>
      <c r="F29" s="17">
        <f>'[2]DP8 CAIHUASI S1'!F29+'[2]DP6 CAIHUASI S2'!F29</f>
        <v>2</v>
      </c>
      <c r="G29" s="17">
        <f>'[2]DP8 CAIHUASI S1'!G29+'[2]DP6 CAIHUASI S2'!G29</f>
        <v>24</v>
      </c>
      <c r="H29" s="17">
        <f>'[2]DP8 CAIHUASI S1'!H29+'[2]DP6 CAIHUASI S2'!H29</f>
        <v>2</v>
      </c>
      <c r="I29" s="17">
        <f>'[2]DP8 CAIHUASI S1'!I29+'[2]DP6 CAIHUASI S2'!I29</f>
        <v>11</v>
      </c>
      <c r="J29" s="17">
        <f>'[2]DP8 CAIHUASI S1'!J29+'[2]DP6 CAIHUASI S2'!J29</f>
        <v>13</v>
      </c>
      <c r="K29" s="17">
        <f>'[2]DP8 CAIHUASI S1'!K29+'[2]DP6 CAIHUASI S2'!K29</f>
        <v>30</v>
      </c>
      <c r="L29" s="17">
        <f>'[2]DP8 CAIHUASI S1'!L29+'[2]DP6 CAIHUASI S2'!L29</f>
        <v>4</v>
      </c>
      <c r="M29" s="17">
        <f>'[2]DP8 CAIHUASI S1'!M29+'[2]DP6 CAIHUASI S2'!M29</f>
        <v>3</v>
      </c>
      <c r="N29" s="17">
        <f>'[2]DP8 CAIHUASI S1'!N29+'[2]DP6 CAIHUASI S2'!N29</f>
        <v>0</v>
      </c>
      <c r="O29" s="17">
        <f t="shared" si="0"/>
        <v>262</v>
      </c>
      <c r="P29" s="18">
        <f t="shared" si="1"/>
        <v>6.5845689871827096E-2</v>
      </c>
    </row>
    <row r="30" spans="1:16" ht="17.25" customHeight="1" x14ac:dyDescent="0.25">
      <c r="A30" s="19" t="s">
        <v>45</v>
      </c>
      <c r="B30" s="17">
        <f>'[2]DP8 CAIHUASI S1'!B30+'[2]DP6 CAIHUASI S2'!B30</f>
        <v>86</v>
      </c>
      <c r="C30" s="17">
        <f>'[2]DP8 CAIHUASI S1'!C30+'[2]DP6 CAIHUASI S2'!C30</f>
        <v>6</v>
      </c>
      <c r="D30" s="17">
        <f>'[2]DP8 CAIHUASI S1'!D30+'[2]DP6 CAIHUASI S2'!D30</f>
        <v>24</v>
      </c>
      <c r="E30" s="17">
        <f>'[2]DP8 CAIHUASI S1'!E30+'[2]DP6 CAIHUASI S2'!E30</f>
        <v>1</v>
      </c>
      <c r="F30" s="17">
        <f>'[2]DP8 CAIHUASI S1'!F30+'[2]DP6 CAIHUASI S2'!F30</f>
        <v>2</v>
      </c>
      <c r="G30" s="17">
        <f>'[2]DP8 CAIHUASI S1'!G30+'[2]DP6 CAIHUASI S2'!G30</f>
        <v>19</v>
      </c>
      <c r="H30" s="17">
        <f>'[2]DP8 CAIHUASI S1'!H30+'[2]DP6 CAIHUASI S2'!H30</f>
        <v>3</v>
      </c>
      <c r="I30" s="17">
        <f>'[2]DP8 CAIHUASI S1'!I30+'[2]DP6 CAIHUASI S2'!I30</f>
        <v>5</v>
      </c>
      <c r="J30" s="17">
        <f>'[2]DP8 CAIHUASI S1'!J30+'[2]DP6 CAIHUASI S2'!J30</f>
        <v>5</v>
      </c>
      <c r="K30" s="17">
        <f>'[2]DP8 CAIHUASI S1'!K30+'[2]DP6 CAIHUASI S2'!K30</f>
        <v>16</v>
      </c>
      <c r="L30" s="17">
        <f>'[2]DP8 CAIHUASI S1'!L30+'[2]DP6 CAIHUASI S2'!L30</f>
        <v>6</v>
      </c>
      <c r="M30" s="17">
        <f>'[2]DP8 CAIHUASI S1'!M30+'[2]DP6 CAIHUASI S2'!M30</f>
        <v>0</v>
      </c>
      <c r="N30" s="17">
        <f>'[2]DP8 CAIHUASI S1'!N30+'[2]DP6 CAIHUASI S2'!N30</f>
        <v>0</v>
      </c>
      <c r="O30" s="17">
        <f t="shared" si="0"/>
        <v>173</v>
      </c>
      <c r="P30" s="18">
        <f t="shared" si="1"/>
        <v>4.3478260869565216E-2</v>
      </c>
    </row>
    <row r="31" spans="1:16" ht="17.25" customHeight="1" x14ac:dyDescent="0.25">
      <c r="A31" s="19" t="s">
        <v>46</v>
      </c>
      <c r="B31" s="17">
        <f>'[2]DP8 CAIHUASI S1'!B31+'[2]DP6 CAIHUASI S2'!B31</f>
        <v>53</v>
      </c>
      <c r="C31" s="17">
        <f>'[2]DP8 CAIHUASI S1'!C31+'[2]DP6 CAIHUASI S2'!C31</f>
        <v>9</v>
      </c>
      <c r="D31" s="17">
        <f>'[2]DP8 CAIHUASI S1'!D31+'[2]DP6 CAIHUASI S2'!D31</f>
        <v>26</v>
      </c>
      <c r="E31" s="17">
        <f>'[2]DP8 CAIHUASI S1'!E31+'[2]DP6 CAIHUASI S2'!E31</f>
        <v>0</v>
      </c>
      <c r="F31" s="17">
        <f>'[2]DP8 CAIHUASI S1'!F31+'[2]DP6 CAIHUASI S2'!F31</f>
        <v>0</v>
      </c>
      <c r="G31" s="17">
        <f>'[2]DP8 CAIHUASI S1'!G31+'[2]DP6 CAIHUASI S2'!G31</f>
        <v>23</v>
      </c>
      <c r="H31" s="17">
        <f>'[2]DP8 CAIHUASI S1'!H31+'[2]DP6 CAIHUASI S2'!H31</f>
        <v>1</v>
      </c>
      <c r="I31" s="17">
        <f>'[2]DP8 CAIHUASI S1'!I31+'[2]DP6 CAIHUASI S2'!I31</f>
        <v>2</v>
      </c>
      <c r="J31" s="17">
        <f>'[2]DP8 CAIHUASI S1'!J31+'[2]DP6 CAIHUASI S2'!J31</f>
        <v>8</v>
      </c>
      <c r="K31" s="17">
        <f>'[2]DP8 CAIHUASI S1'!K31+'[2]DP6 CAIHUASI S2'!K31</f>
        <v>40</v>
      </c>
      <c r="L31" s="17">
        <f>'[2]DP8 CAIHUASI S1'!L31+'[2]DP6 CAIHUASI S2'!L31</f>
        <v>3</v>
      </c>
      <c r="M31" s="17">
        <f>'[2]DP8 CAIHUASI S1'!M31+'[2]DP6 CAIHUASI S2'!M31</f>
        <v>0</v>
      </c>
      <c r="N31" s="17">
        <f>'[2]DP8 CAIHUASI S1'!N31+'[2]DP6 CAIHUASI S2'!N31</f>
        <v>0</v>
      </c>
      <c r="O31" s="17">
        <f t="shared" si="0"/>
        <v>165</v>
      </c>
      <c r="P31" s="18">
        <f t="shared" si="1"/>
        <v>4.1467705453631563E-2</v>
      </c>
    </row>
    <row r="32" spans="1:16" ht="17.25" customHeight="1" x14ac:dyDescent="0.25">
      <c r="A32" s="19" t="s">
        <v>47</v>
      </c>
      <c r="B32" s="17">
        <f>'[2]DP8 CAIHUASI S1'!B32+'[2]DP6 CAIHUASI S2'!B32</f>
        <v>51</v>
      </c>
      <c r="C32" s="17">
        <f>'[2]DP8 CAIHUASI S1'!C32+'[2]DP6 CAIHUASI S2'!C32</f>
        <v>9</v>
      </c>
      <c r="D32" s="17">
        <f>'[2]DP8 CAIHUASI S1'!D32+'[2]DP6 CAIHUASI S2'!D32</f>
        <v>20</v>
      </c>
      <c r="E32" s="17">
        <f>'[2]DP8 CAIHUASI S1'!E32+'[2]DP6 CAIHUASI S2'!E32</f>
        <v>0</v>
      </c>
      <c r="F32" s="17">
        <f>'[2]DP8 CAIHUASI S1'!F32+'[2]DP6 CAIHUASI S2'!F32</f>
        <v>0</v>
      </c>
      <c r="G32" s="17">
        <f>'[2]DP8 CAIHUASI S1'!G32+'[2]DP6 CAIHUASI S2'!G32</f>
        <v>25</v>
      </c>
      <c r="H32" s="17">
        <f>'[2]DP8 CAIHUASI S1'!H32+'[2]DP6 CAIHUASI S2'!H32</f>
        <v>1</v>
      </c>
      <c r="I32" s="17">
        <f>'[2]DP8 CAIHUASI S1'!I32+'[2]DP6 CAIHUASI S2'!I32</f>
        <v>14</v>
      </c>
      <c r="J32" s="17">
        <f>'[2]DP8 CAIHUASI S1'!J32+'[2]DP6 CAIHUASI S2'!J32</f>
        <v>21</v>
      </c>
      <c r="K32" s="17">
        <f>'[2]DP8 CAIHUASI S1'!K32+'[2]DP6 CAIHUASI S2'!K32</f>
        <v>29</v>
      </c>
      <c r="L32" s="17">
        <f>'[2]DP8 CAIHUASI S1'!L32+'[2]DP6 CAIHUASI S2'!L32</f>
        <v>8</v>
      </c>
      <c r="M32" s="17">
        <f>'[2]DP8 CAIHUASI S1'!M32+'[2]DP6 CAIHUASI S2'!M32</f>
        <v>1</v>
      </c>
      <c r="N32" s="17">
        <f>'[2]DP8 CAIHUASI S1'!N32+'[2]DP6 CAIHUASI S2'!N32</f>
        <v>0</v>
      </c>
      <c r="O32" s="17">
        <f t="shared" si="0"/>
        <v>179</v>
      </c>
      <c r="P32" s="18">
        <f t="shared" si="1"/>
        <v>4.4986177431515458E-2</v>
      </c>
    </row>
    <row r="33" spans="1:16" ht="17.25" customHeight="1" x14ac:dyDescent="0.25">
      <c r="A33" s="19" t="s">
        <v>48</v>
      </c>
      <c r="B33" s="17">
        <f>'[2]DP8 CAIHUASI S1'!B33+'[2]DP6 CAIHUASI S2'!B33</f>
        <v>30</v>
      </c>
      <c r="C33" s="17">
        <f>'[2]DP8 CAIHUASI S1'!C33+'[2]DP6 CAIHUASI S2'!C33</f>
        <v>6</v>
      </c>
      <c r="D33" s="17">
        <f>'[2]DP8 CAIHUASI S1'!D33+'[2]DP6 CAIHUASI S2'!D33</f>
        <v>15</v>
      </c>
      <c r="E33" s="17">
        <f>'[2]DP8 CAIHUASI S1'!E33+'[2]DP6 CAIHUASI S2'!E33</f>
        <v>0</v>
      </c>
      <c r="F33" s="17">
        <f>'[2]DP8 CAIHUASI S1'!F33+'[2]DP6 CAIHUASI S2'!F33</f>
        <v>3</v>
      </c>
      <c r="G33" s="17">
        <f>'[2]DP8 CAIHUASI S1'!G33+'[2]DP6 CAIHUASI S2'!G33</f>
        <v>14</v>
      </c>
      <c r="H33" s="17">
        <f>'[2]DP8 CAIHUASI S1'!H33+'[2]DP6 CAIHUASI S2'!H33</f>
        <v>1</v>
      </c>
      <c r="I33" s="17">
        <f>'[2]DP8 CAIHUASI S1'!I33+'[2]DP6 CAIHUASI S2'!I33</f>
        <v>5</v>
      </c>
      <c r="J33" s="17">
        <f>'[2]DP8 CAIHUASI S1'!J33+'[2]DP6 CAIHUASI S2'!J33</f>
        <v>10</v>
      </c>
      <c r="K33" s="17">
        <f>'[2]DP8 CAIHUASI S1'!K33+'[2]DP6 CAIHUASI S2'!K33</f>
        <v>13</v>
      </c>
      <c r="L33" s="17">
        <f>'[2]DP8 CAIHUASI S1'!L33+'[2]DP6 CAIHUASI S2'!L33</f>
        <v>2</v>
      </c>
      <c r="M33" s="17">
        <f>'[2]DP8 CAIHUASI S1'!M33+'[2]DP6 CAIHUASI S2'!M33</f>
        <v>0</v>
      </c>
      <c r="N33" s="17">
        <f>'[2]DP8 CAIHUASI S1'!N33+'[2]DP6 CAIHUASI S2'!N33</f>
        <v>0</v>
      </c>
      <c r="O33" s="17">
        <f t="shared" si="0"/>
        <v>99</v>
      </c>
      <c r="P33" s="18">
        <f t="shared" si="1"/>
        <v>2.488062327217894E-2</v>
      </c>
    </row>
    <row r="34" spans="1:16" ht="17.25" customHeight="1" thickBot="1" x14ac:dyDescent="0.3">
      <c r="A34" s="20" t="s">
        <v>49</v>
      </c>
      <c r="B34" s="17">
        <f>'[2]DP8 CAIHUASI S1'!B34+'[2]DP6 CAIHUASI S2'!B34</f>
        <v>35</v>
      </c>
      <c r="C34" s="17">
        <f>'[2]DP8 CAIHUASI S1'!C34+'[2]DP6 CAIHUASI S2'!C34</f>
        <v>2</v>
      </c>
      <c r="D34" s="17">
        <f>'[2]DP8 CAIHUASI S1'!D34+'[2]DP6 CAIHUASI S2'!D34</f>
        <v>8</v>
      </c>
      <c r="E34" s="17">
        <f>'[2]DP8 CAIHUASI S1'!E34+'[2]DP6 CAIHUASI S2'!E34</f>
        <v>0</v>
      </c>
      <c r="F34" s="17">
        <f>'[2]DP8 CAIHUASI S1'!F34+'[2]DP6 CAIHUASI S2'!F34</f>
        <v>6</v>
      </c>
      <c r="G34" s="17">
        <f>'[2]DP8 CAIHUASI S1'!G34+'[2]DP6 CAIHUASI S2'!G34</f>
        <v>27</v>
      </c>
      <c r="H34" s="17">
        <f>'[2]DP8 CAIHUASI S1'!H34+'[2]DP6 CAIHUASI S2'!H34</f>
        <v>0</v>
      </c>
      <c r="I34" s="17">
        <f>'[2]DP8 CAIHUASI S1'!I34+'[2]DP6 CAIHUASI S2'!I34</f>
        <v>17</v>
      </c>
      <c r="J34" s="17">
        <f>'[2]DP8 CAIHUASI S1'!J34+'[2]DP6 CAIHUASI S2'!J34</f>
        <v>22</v>
      </c>
      <c r="K34" s="17">
        <f>'[2]DP8 CAIHUASI S1'!K34+'[2]DP6 CAIHUASI S2'!K34</f>
        <v>13</v>
      </c>
      <c r="L34" s="17">
        <f>'[2]DP8 CAIHUASI S1'!L34+'[2]DP6 CAIHUASI S2'!L34</f>
        <v>5</v>
      </c>
      <c r="M34" s="17">
        <f>'[2]DP8 CAIHUASI S1'!M34+'[2]DP6 CAIHUASI S2'!M34</f>
        <v>1</v>
      </c>
      <c r="N34" s="17">
        <f>'[2]DP8 CAIHUASI S1'!N34+'[2]DP6 CAIHUASI S2'!N34</f>
        <v>0</v>
      </c>
      <c r="O34" s="17">
        <f t="shared" si="0"/>
        <v>136</v>
      </c>
      <c r="P34" s="18">
        <f t="shared" si="1"/>
        <v>3.4179442070872076E-2</v>
      </c>
    </row>
    <row r="35" spans="1:16" ht="17.25" customHeight="1" thickBot="1" x14ac:dyDescent="0.3">
      <c r="A35" s="21" t="s">
        <v>24</v>
      </c>
      <c r="B35" s="22">
        <f t="shared" ref="B35:P35" si="2">SUM(B11:B34)</f>
        <v>1423</v>
      </c>
      <c r="C35" s="22">
        <f t="shared" si="2"/>
        <v>177</v>
      </c>
      <c r="D35" s="22">
        <f t="shared" si="2"/>
        <v>568</v>
      </c>
      <c r="E35" s="22">
        <f t="shared" si="2"/>
        <v>1</v>
      </c>
      <c r="F35" s="22">
        <f t="shared" si="2"/>
        <v>82</v>
      </c>
      <c r="G35" s="22">
        <f t="shared" si="2"/>
        <v>538</v>
      </c>
      <c r="H35" s="22">
        <f t="shared" si="2"/>
        <v>49</v>
      </c>
      <c r="I35" s="22">
        <f t="shared" si="2"/>
        <v>208</v>
      </c>
      <c r="J35" s="22">
        <f t="shared" si="2"/>
        <v>316</v>
      </c>
      <c r="K35" s="22">
        <f t="shared" si="2"/>
        <v>492</v>
      </c>
      <c r="L35" s="22">
        <f t="shared" si="2"/>
        <v>94</v>
      </c>
      <c r="M35" s="22">
        <f t="shared" si="2"/>
        <v>31</v>
      </c>
      <c r="N35" s="22">
        <f t="shared" si="2"/>
        <v>0</v>
      </c>
      <c r="O35" s="22">
        <f t="shared" si="2"/>
        <v>3979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0.35762754460919827</v>
      </c>
      <c r="C36" s="25">
        <f t="shared" si="3"/>
        <v>4.4483538577532046E-2</v>
      </c>
      <c r="D36" s="25">
        <f t="shared" si="3"/>
        <v>0.14274943453128927</v>
      </c>
      <c r="E36" s="25">
        <f t="shared" si="3"/>
        <v>2.5131942699170643E-4</v>
      </c>
      <c r="F36" s="25">
        <f t="shared" si="3"/>
        <v>2.0608193013319929E-2</v>
      </c>
      <c r="G36" s="25">
        <f t="shared" si="3"/>
        <v>0.13520985172153807</v>
      </c>
      <c r="H36" s="25">
        <f t="shared" si="3"/>
        <v>1.2314651922593617E-2</v>
      </c>
      <c r="I36" s="25">
        <f t="shared" si="3"/>
        <v>5.2274440814274944E-2</v>
      </c>
      <c r="J36" s="25">
        <f t="shared" si="3"/>
        <v>7.9416938929379247E-2</v>
      </c>
      <c r="K36" s="25">
        <f t="shared" si="3"/>
        <v>0.12364915807991958</v>
      </c>
      <c r="L36" s="25">
        <f t="shared" si="3"/>
        <v>2.3624026137220408E-2</v>
      </c>
      <c r="M36" s="25">
        <f t="shared" si="3"/>
        <v>7.7909022367429002E-3</v>
      </c>
      <c r="N36" s="25">
        <f t="shared" si="3"/>
        <v>0</v>
      </c>
      <c r="O36" s="25">
        <f>SUM(B36:N36)</f>
        <v>1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63"/>
      <c r="T3" s="63"/>
      <c r="U3" s="63"/>
      <c r="V3" s="63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52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'[3]DP8 CAIHUASI S1'!B11+'[3]DP6 CAIHUASI S2'!B11</f>
        <v>43</v>
      </c>
      <c r="C11" s="17">
        <f>'[3]DP8 CAIHUASI S1'!C11+'[3]DP6 CAIHUASI S2'!C11</f>
        <v>3</v>
      </c>
      <c r="D11" s="17">
        <f>'[3]DP8 CAIHUASI S1'!D11+'[3]DP6 CAIHUASI S2'!D11</f>
        <v>5</v>
      </c>
      <c r="E11" s="17">
        <f>'[3]DP8 CAIHUASI S1'!E11+'[3]DP6 CAIHUASI S2'!E11</f>
        <v>0</v>
      </c>
      <c r="F11" s="17">
        <f>'[3]DP8 CAIHUASI S1'!F11+'[3]DP6 CAIHUASI S2'!F11</f>
        <v>6</v>
      </c>
      <c r="G11" s="17">
        <f>'[3]DP8 CAIHUASI S1'!G11+'[3]DP6 CAIHUASI S2'!G11</f>
        <v>23</v>
      </c>
      <c r="H11" s="17">
        <f>'[3]DP8 CAIHUASI S1'!H11+'[3]DP6 CAIHUASI S2'!H11</f>
        <v>1</v>
      </c>
      <c r="I11" s="17">
        <f>'[3]DP8 CAIHUASI S1'!I11+'[3]DP6 CAIHUASI S2'!I11</f>
        <v>7</v>
      </c>
      <c r="J11" s="17">
        <f>'[3]DP8 CAIHUASI S1'!J11+'[3]DP6 CAIHUASI S2'!J11</f>
        <v>12</v>
      </c>
      <c r="K11" s="17">
        <f>'[3]DP8 CAIHUASI S1'!K11+'[3]DP6 CAIHUASI S2'!K11</f>
        <v>7</v>
      </c>
      <c r="L11" s="17">
        <f>'[3]DP8 CAIHUASI S1'!L11+'[3]DP6 CAIHUASI S2'!L11</f>
        <v>4</v>
      </c>
      <c r="M11" s="17">
        <f>'[3]DP8 CAIHUASI S1'!M11+'[3]DP6 CAIHUASI S2'!M11</f>
        <v>1</v>
      </c>
      <c r="N11" s="17">
        <f>'[3]DP8 CAIHUASI S1'!N11+'[3]DP6 CAIHUASI S2'!N11</f>
        <v>0</v>
      </c>
      <c r="O11" s="17">
        <f t="shared" ref="O11:O34" si="0">SUM(B11:N11)</f>
        <v>112</v>
      </c>
      <c r="P11" s="18">
        <f t="shared" ref="P11:P34" si="1">O11/$O$35</f>
        <v>3.1764038570618262E-2</v>
      </c>
    </row>
    <row r="12" spans="1:32" ht="17.25" customHeight="1" x14ac:dyDescent="0.25">
      <c r="A12" s="19" t="s">
        <v>27</v>
      </c>
      <c r="B12" s="17">
        <f>'[3]DP8 CAIHUASI S1'!B12+'[3]DP6 CAIHUASI S2'!B12</f>
        <v>19</v>
      </c>
      <c r="C12" s="17">
        <f>'[3]DP8 CAIHUASI S1'!C12+'[3]DP6 CAIHUASI S2'!C12</f>
        <v>3</v>
      </c>
      <c r="D12" s="17">
        <f>'[3]DP8 CAIHUASI S1'!D12+'[3]DP6 CAIHUASI S2'!D12</f>
        <v>7</v>
      </c>
      <c r="E12" s="17">
        <f>'[3]DP8 CAIHUASI S1'!E12+'[3]DP6 CAIHUASI S2'!E12</f>
        <v>0</v>
      </c>
      <c r="F12" s="17">
        <f>'[3]DP8 CAIHUASI S1'!F12+'[3]DP6 CAIHUASI S2'!F12</f>
        <v>3</v>
      </c>
      <c r="G12" s="17">
        <f>'[3]DP8 CAIHUASI S1'!G12+'[3]DP6 CAIHUASI S2'!G12</f>
        <v>52</v>
      </c>
      <c r="H12" s="17">
        <f>'[3]DP8 CAIHUASI S1'!H12+'[3]DP6 CAIHUASI S2'!H12</f>
        <v>0</v>
      </c>
      <c r="I12" s="17">
        <f>'[3]DP8 CAIHUASI S1'!I12+'[3]DP6 CAIHUASI S2'!I12</f>
        <v>8</v>
      </c>
      <c r="J12" s="17">
        <f>'[3]DP8 CAIHUASI S1'!J12+'[3]DP6 CAIHUASI S2'!J12</f>
        <v>10</v>
      </c>
      <c r="K12" s="17">
        <f>'[3]DP8 CAIHUASI S1'!K12+'[3]DP6 CAIHUASI S2'!K12</f>
        <v>5</v>
      </c>
      <c r="L12" s="17">
        <f>'[3]DP8 CAIHUASI S1'!L12+'[3]DP6 CAIHUASI S2'!L12</f>
        <v>4</v>
      </c>
      <c r="M12" s="17">
        <f>'[3]DP8 CAIHUASI S1'!M12+'[3]DP6 CAIHUASI S2'!M12</f>
        <v>0</v>
      </c>
      <c r="N12" s="17">
        <f>'[3]DP8 CAIHUASI S1'!N12+'[3]DP6 CAIHUASI S2'!N12</f>
        <v>0</v>
      </c>
      <c r="O12" s="17">
        <f t="shared" si="0"/>
        <v>111</v>
      </c>
      <c r="P12" s="18">
        <f t="shared" si="1"/>
        <v>3.1480431083380604E-2</v>
      </c>
    </row>
    <row r="13" spans="1:32" ht="17.25" customHeight="1" x14ac:dyDescent="0.25">
      <c r="A13" s="19" t="s">
        <v>28</v>
      </c>
      <c r="B13" s="17">
        <f>'[3]DP8 CAIHUASI S1'!B13+'[3]DP6 CAIHUASI S2'!B13</f>
        <v>23</v>
      </c>
      <c r="C13" s="17">
        <f>'[3]DP8 CAIHUASI S1'!C13+'[3]DP6 CAIHUASI S2'!C13</f>
        <v>3</v>
      </c>
      <c r="D13" s="17">
        <f>'[3]DP8 CAIHUASI S1'!D13+'[3]DP6 CAIHUASI S2'!D13</f>
        <v>8</v>
      </c>
      <c r="E13" s="17">
        <f>'[3]DP8 CAIHUASI S1'!E13+'[3]DP6 CAIHUASI S2'!E13</f>
        <v>0</v>
      </c>
      <c r="F13" s="17">
        <f>'[3]DP8 CAIHUASI S1'!F13+'[3]DP6 CAIHUASI S2'!F13</f>
        <v>0</v>
      </c>
      <c r="G13" s="17">
        <f>'[3]DP8 CAIHUASI S1'!G13+'[3]DP6 CAIHUASI S2'!G13</f>
        <v>66</v>
      </c>
      <c r="H13" s="17">
        <f>'[3]DP8 CAIHUASI S1'!H13+'[3]DP6 CAIHUASI S2'!H13</f>
        <v>1</v>
      </c>
      <c r="I13" s="17">
        <f>'[3]DP8 CAIHUASI S1'!I13+'[3]DP6 CAIHUASI S2'!I13</f>
        <v>4</v>
      </c>
      <c r="J13" s="17">
        <f>'[3]DP8 CAIHUASI S1'!J13+'[3]DP6 CAIHUASI S2'!J13</f>
        <v>5</v>
      </c>
      <c r="K13" s="17">
        <f>'[3]DP8 CAIHUASI S1'!K13+'[3]DP6 CAIHUASI S2'!K13</f>
        <v>7</v>
      </c>
      <c r="L13" s="17">
        <f>'[3]DP8 CAIHUASI S1'!L13+'[3]DP6 CAIHUASI S2'!L13</f>
        <v>1</v>
      </c>
      <c r="M13" s="17">
        <f>'[3]DP8 CAIHUASI S1'!M13+'[3]DP6 CAIHUASI S2'!M13</f>
        <v>0</v>
      </c>
      <c r="N13" s="17">
        <f>'[3]DP8 CAIHUASI S1'!N13+'[3]DP6 CAIHUASI S2'!N13</f>
        <v>0</v>
      </c>
      <c r="O13" s="17">
        <f t="shared" si="0"/>
        <v>118</v>
      </c>
      <c r="P13" s="18">
        <f t="shared" si="1"/>
        <v>3.3465683494044246E-2</v>
      </c>
    </row>
    <row r="14" spans="1:32" ht="17.25" customHeight="1" x14ac:dyDescent="0.25">
      <c r="A14" s="19" t="s">
        <v>29</v>
      </c>
      <c r="B14" s="17">
        <f>'[3]DP8 CAIHUASI S1'!B14+'[3]DP6 CAIHUASI S2'!B14</f>
        <v>17</v>
      </c>
      <c r="C14" s="17">
        <f>'[3]DP8 CAIHUASI S1'!C14+'[3]DP6 CAIHUASI S2'!C14</f>
        <v>9</v>
      </c>
      <c r="D14" s="17">
        <f>'[3]DP8 CAIHUASI S1'!D14+'[3]DP6 CAIHUASI S2'!D14</f>
        <v>5</v>
      </c>
      <c r="E14" s="17">
        <f>'[3]DP8 CAIHUASI S1'!E14+'[3]DP6 CAIHUASI S2'!E14</f>
        <v>0</v>
      </c>
      <c r="F14" s="17">
        <f>'[3]DP8 CAIHUASI S1'!F14+'[3]DP6 CAIHUASI S2'!F14</f>
        <v>46</v>
      </c>
      <c r="G14" s="17">
        <f>'[3]DP8 CAIHUASI S1'!G14+'[3]DP6 CAIHUASI S2'!G14</f>
        <v>35</v>
      </c>
      <c r="H14" s="17">
        <f>'[3]DP8 CAIHUASI S1'!H14+'[3]DP6 CAIHUASI S2'!H14</f>
        <v>2</v>
      </c>
      <c r="I14" s="17">
        <f>'[3]DP8 CAIHUASI S1'!I14+'[3]DP6 CAIHUASI S2'!I14</f>
        <v>6</v>
      </c>
      <c r="J14" s="17">
        <f>'[3]DP8 CAIHUASI S1'!J14+'[3]DP6 CAIHUASI S2'!J14</f>
        <v>17</v>
      </c>
      <c r="K14" s="17">
        <f>'[3]DP8 CAIHUASI S1'!K14+'[3]DP6 CAIHUASI S2'!K14</f>
        <v>10</v>
      </c>
      <c r="L14" s="17">
        <f>'[3]DP8 CAIHUASI S1'!L14+'[3]DP6 CAIHUASI S2'!L14</f>
        <v>5</v>
      </c>
      <c r="M14" s="17">
        <f>'[3]DP8 CAIHUASI S1'!M14+'[3]DP6 CAIHUASI S2'!M14</f>
        <v>0</v>
      </c>
      <c r="N14" s="17">
        <f>'[3]DP8 CAIHUASI S1'!N14+'[3]DP6 CAIHUASI S2'!N14</f>
        <v>0</v>
      </c>
      <c r="O14" s="17">
        <f t="shared" si="0"/>
        <v>152</v>
      </c>
      <c r="P14" s="18">
        <f t="shared" si="1"/>
        <v>4.310833806012479E-2</v>
      </c>
    </row>
    <row r="15" spans="1:32" ht="17.25" customHeight="1" x14ac:dyDescent="0.25">
      <c r="A15" s="19" t="s">
        <v>30</v>
      </c>
      <c r="B15" s="17">
        <f>'[3]DP8 CAIHUASI S1'!B15+'[3]DP6 CAIHUASI S2'!B15</f>
        <v>30</v>
      </c>
      <c r="C15" s="17">
        <f>'[3]DP8 CAIHUASI S1'!C15+'[3]DP6 CAIHUASI S2'!C15</f>
        <v>2</v>
      </c>
      <c r="D15" s="17">
        <f>'[3]DP8 CAIHUASI S1'!D15+'[3]DP6 CAIHUASI S2'!D15</f>
        <v>18</v>
      </c>
      <c r="E15" s="17">
        <f>'[3]DP8 CAIHUASI S1'!E15+'[3]DP6 CAIHUASI S2'!E15</f>
        <v>0</v>
      </c>
      <c r="F15" s="17">
        <f>'[3]DP8 CAIHUASI S1'!F15+'[3]DP6 CAIHUASI S2'!F15</f>
        <v>2</v>
      </c>
      <c r="G15" s="17">
        <f>'[3]DP8 CAIHUASI S1'!G15+'[3]DP6 CAIHUASI S2'!G15</f>
        <v>41</v>
      </c>
      <c r="H15" s="17">
        <f>'[3]DP8 CAIHUASI S1'!H15+'[3]DP6 CAIHUASI S2'!H15</f>
        <v>1</v>
      </c>
      <c r="I15" s="17">
        <f>'[3]DP8 CAIHUASI S1'!I15+'[3]DP6 CAIHUASI S2'!I15</f>
        <v>7</v>
      </c>
      <c r="J15" s="17">
        <f>'[3]DP8 CAIHUASI S1'!J15+'[3]DP6 CAIHUASI S2'!J15</f>
        <v>12</v>
      </c>
      <c r="K15" s="17">
        <f>'[3]DP8 CAIHUASI S1'!K15+'[3]DP6 CAIHUASI S2'!K15</f>
        <v>27</v>
      </c>
      <c r="L15" s="17">
        <f>'[3]DP8 CAIHUASI S1'!L15+'[3]DP6 CAIHUASI S2'!L15</f>
        <v>1</v>
      </c>
      <c r="M15" s="17">
        <f>'[3]DP8 CAIHUASI S1'!M15+'[3]DP6 CAIHUASI S2'!M15</f>
        <v>1</v>
      </c>
      <c r="N15" s="17">
        <f>'[3]DP8 CAIHUASI S1'!N15+'[3]DP6 CAIHUASI S2'!N15</f>
        <v>0</v>
      </c>
      <c r="O15" s="17">
        <f t="shared" si="0"/>
        <v>142</v>
      </c>
      <c r="P15" s="18">
        <f t="shared" si="1"/>
        <v>4.027226318774816E-2</v>
      </c>
    </row>
    <row r="16" spans="1:32" ht="17.25" customHeight="1" x14ac:dyDescent="0.25">
      <c r="A16" s="19" t="s">
        <v>31</v>
      </c>
      <c r="B16" s="17">
        <f>'[3]DP8 CAIHUASI S1'!B16+'[3]DP6 CAIHUASI S2'!B16</f>
        <v>33</v>
      </c>
      <c r="C16" s="17">
        <f>'[3]DP8 CAIHUASI S1'!C16+'[3]DP6 CAIHUASI S2'!C16</f>
        <v>3</v>
      </c>
      <c r="D16" s="17">
        <f>'[3]DP8 CAIHUASI S1'!D16+'[3]DP6 CAIHUASI S2'!D16</f>
        <v>18</v>
      </c>
      <c r="E16" s="17">
        <f>'[3]DP8 CAIHUASI S1'!E16+'[3]DP6 CAIHUASI S2'!E16</f>
        <v>0</v>
      </c>
      <c r="F16" s="17">
        <f>'[3]DP8 CAIHUASI S1'!F16+'[3]DP6 CAIHUASI S2'!F16</f>
        <v>6</v>
      </c>
      <c r="G16" s="17">
        <f>'[3]DP8 CAIHUASI S1'!G16+'[3]DP6 CAIHUASI S2'!G16</f>
        <v>17</v>
      </c>
      <c r="H16" s="17">
        <f>'[3]DP8 CAIHUASI S1'!H16+'[3]DP6 CAIHUASI S2'!H16</f>
        <v>7</v>
      </c>
      <c r="I16" s="17">
        <f>'[3]DP8 CAIHUASI S1'!I16+'[3]DP6 CAIHUASI S2'!I16</f>
        <v>22</v>
      </c>
      <c r="J16" s="17">
        <f>'[3]DP8 CAIHUASI S1'!J16+'[3]DP6 CAIHUASI S2'!J16</f>
        <v>11</v>
      </c>
      <c r="K16" s="17">
        <f>'[3]DP8 CAIHUASI S1'!K16+'[3]DP6 CAIHUASI S2'!K16</f>
        <v>13</v>
      </c>
      <c r="L16" s="17">
        <f>'[3]DP8 CAIHUASI S1'!L16+'[3]DP6 CAIHUASI S2'!L16</f>
        <v>25</v>
      </c>
      <c r="M16" s="17">
        <f>'[3]DP8 CAIHUASI S1'!M16+'[3]DP6 CAIHUASI S2'!M16</f>
        <v>4</v>
      </c>
      <c r="N16" s="17">
        <f>'[3]DP8 CAIHUASI S1'!N16+'[3]DP6 CAIHUASI S2'!N16</f>
        <v>0</v>
      </c>
      <c r="O16" s="17">
        <f t="shared" si="0"/>
        <v>159</v>
      </c>
      <c r="P16" s="18">
        <f t="shared" si="1"/>
        <v>4.5093590470788432E-2</v>
      </c>
    </row>
    <row r="17" spans="1:16" ht="17.25" customHeight="1" x14ac:dyDescent="0.25">
      <c r="A17" s="19" t="s">
        <v>32</v>
      </c>
      <c r="B17" s="17">
        <f>'[3]DP8 CAIHUASI S1'!B17+'[3]DP6 CAIHUASI S2'!B17</f>
        <v>27</v>
      </c>
      <c r="C17" s="17">
        <f>'[3]DP8 CAIHUASI S1'!C17+'[3]DP6 CAIHUASI S2'!C17</f>
        <v>9</v>
      </c>
      <c r="D17" s="17">
        <f>'[3]DP8 CAIHUASI S1'!D17+'[3]DP6 CAIHUASI S2'!D17</f>
        <v>13</v>
      </c>
      <c r="E17" s="17">
        <f>'[3]DP8 CAIHUASI S1'!E17+'[3]DP6 CAIHUASI S2'!E17</f>
        <v>0</v>
      </c>
      <c r="F17" s="17">
        <f>'[3]DP8 CAIHUASI S1'!F17+'[3]DP6 CAIHUASI S2'!F17</f>
        <v>0</v>
      </c>
      <c r="G17" s="17">
        <f>'[3]DP8 CAIHUASI S1'!G17+'[3]DP6 CAIHUASI S2'!G17</f>
        <v>10</v>
      </c>
      <c r="H17" s="17">
        <f>'[3]DP8 CAIHUASI S1'!H17+'[3]DP6 CAIHUASI S2'!H17</f>
        <v>1</v>
      </c>
      <c r="I17" s="17">
        <f>'[3]DP8 CAIHUASI S1'!I17+'[3]DP6 CAIHUASI S2'!I17</f>
        <v>1</v>
      </c>
      <c r="J17" s="17">
        <f>'[3]DP8 CAIHUASI S1'!J17+'[3]DP6 CAIHUASI S2'!J17</f>
        <v>7</v>
      </c>
      <c r="K17" s="17">
        <f>'[3]DP8 CAIHUASI S1'!K17+'[3]DP6 CAIHUASI S2'!K17</f>
        <v>12</v>
      </c>
      <c r="L17" s="17">
        <f>'[3]DP8 CAIHUASI S1'!L17+'[3]DP6 CAIHUASI S2'!L17</f>
        <v>1</v>
      </c>
      <c r="M17" s="17">
        <f>'[3]DP8 CAIHUASI S1'!M17+'[3]DP6 CAIHUASI S2'!M17</f>
        <v>1</v>
      </c>
      <c r="N17" s="17">
        <f>'[3]DP8 CAIHUASI S1'!N17+'[3]DP6 CAIHUASI S2'!N17</f>
        <v>0</v>
      </c>
      <c r="O17" s="17">
        <f t="shared" si="0"/>
        <v>82</v>
      </c>
      <c r="P17" s="18">
        <f t="shared" si="1"/>
        <v>2.3255813953488372E-2</v>
      </c>
    </row>
    <row r="18" spans="1:16" ht="17.25" customHeight="1" x14ac:dyDescent="0.25">
      <c r="A18" s="19" t="s">
        <v>33</v>
      </c>
      <c r="B18" s="17">
        <f>'[3]DP8 CAIHUASI S1'!B18+'[3]DP6 CAIHUASI S2'!B18</f>
        <v>32</v>
      </c>
      <c r="C18" s="17">
        <f>'[3]DP8 CAIHUASI S1'!C18+'[3]DP6 CAIHUASI S2'!C18</f>
        <v>2</v>
      </c>
      <c r="D18" s="17">
        <f>'[3]DP8 CAIHUASI S1'!D18+'[3]DP6 CAIHUASI S2'!D18</f>
        <v>19</v>
      </c>
      <c r="E18" s="17">
        <f>'[3]DP8 CAIHUASI S1'!E18+'[3]DP6 CAIHUASI S2'!E18</f>
        <v>1</v>
      </c>
      <c r="F18" s="17">
        <f>'[3]DP8 CAIHUASI S1'!F18+'[3]DP6 CAIHUASI S2'!F18</f>
        <v>3</v>
      </c>
      <c r="G18" s="17">
        <f>'[3]DP8 CAIHUASI S1'!G18+'[3]DP6 CAIHUASI S2'!G18</f>
        <v>5</v>
      </c>
      <c r="H18" s="17">
        <f>'[3]DP8 CAIHUASI S1'!H18+'[3]DP6 CAIHUASI S2'!H18</f>
        <v>1</v>
      </c>
      <c r="I18" s="17">
        <f>'[3]DP8 CAIHUASI S1'!I18+'[3]DP6 CAIHUASI S2'!I18</f>
        <v>5</v>
      </c>
      <c r="J18" s="17">
        <f>'[3]DP8 CAIHUASI S1'!J18+'[3]DP6 CAIHUASI S2'!J18</f>
        <v>9</v>
      </c>
      <c r="K18" s="17">
        <f>'[3]DP8 CAIHUASI S1'!K18+'[3]DP6 CAIHUASI S2'!K18</f>
        <v>15</v>
      </c>
      <c r="L18" s="17">
        <f>'[3]DP8 CAIHUASI S1'!L18+'[3]DP6 CAIHUASI S2'!L18</f>
        <v>2</v>
      </c>
      <c r="M18" s="17">
        <f>'[3]DP8 CAIHUASI S1'!M18+'[3]DP6 CAIHUASI S2'!M18</f>
        <v>0</v>
      </c>
      <c r="N18" s="17">
        <f>'[3]DP8 CAIHUASI S1'!N18+'[3]DP6 CAIHUASI S2'!N18</f>
        <v>0</v>
      </c>
      <c r="O18" s="17">
        <f t="shared" si="0"/>
        <v>94</v>
      </c>
      <c r="P18" s="18">
        <f t="shared" si="1"/>
        <v>2.6659103800340329E-2</v>
      </c>
    </row>
    <row r="19" spans="1:16" ht="17.25" customHeight="1" x14ac:dyDescent="0.25">
      <c r="A19" s="19" t="s">
        <v>34</v>
      </c>
      <c r="B19" s="17">
        <f>'[3]DP8 CAIHUASI S1'!B19+'[3]DP6 CAIHUASI S2'!B19</f>
        <v>62</v>
      </c>
      <c r="C19" s="17">
        <f>'[3]DP8 CAIHUASI S1'!C19+'[3]DP6 CAIHUASI S2'!C19</f>
        <v>10</v>
      </c>
      <c r="D19" s="17">
        <f>'[3]DP8 CAIHUASI S1'!D19+'[3]DP6 CAIHUASI S2'!D19</f>
        <v>34</v>
      </c>
      <c r="E19" s="17">
        <f>'[3]DP8 CAIHUASI S1'!E19+'[3]DP6 CAIHUASI S2'!E19</f>
        <v>0</v>
      </c>
      <c r="F19" s="17">
        <f>'[3]DP8 CAIHUASI S1'!F19+'[3]DP6 CAIHUASI S2'!F19</f>
        <v>2</v>
      </c>
      <c r="G19" s="17">
        <f>'[3]DP8 CAIHUASI S1'!G19+'[3]DP6 CAIHUASI S2'!G19</f>
        <v>13</v>
      </c>
      <c r="H19" s="17">
        <f>'[3]DP8 CAIHUASI S1'!H19+'[3]DP6 CAIHUASI S2'!H19</f>
        <v>1</v>
      </c>
      <c r="I19" s="17">
        <f>'[3]DP8 CAIHUASI S1'!I19+'[3]DP6 CAIHUASI S2'!I19</f>
        <v>9</v>
      </c>
      <c r="J19" s="17">
        <f>'[3]DP8 CAIHUASI S1'!J19+'[3]DP6 CAIHUASI S2'!J19</f>
        <v>15</v>
      </c>
      <c r="K19" s="17">
        <f>'[3]DP8 CAIHUASI S1'!K19+'[3]DP6 CAIHUASI S2'!K19</f>
        <v>13</v>
      </c>
      <c r="L19" s="17">
        <f>'[3]DP8 CAIHUASI S1'!L19+'[3]DP6 CAIHUASI S2'!L19</f>
        <v>4</v>
      </c>
      <c r="M19" s="17">
        <f>'[3]DP8 CAIHUASI S1'!M19+'[3]DP6 CAIHUASI S2'!M19</f>
        <v>2</v>
      </c>
      <c r="N19" s="17">
        <f>'[3]DP8 CAIHUASI S1'!N19+'[3]DP6 CAIHUASI S2'!N19</f>
        <v>0</v>
      </c>
      <c r="O19" s="17">
        <f t="shared" si="0"/>
        <v>165</v>
      </c>
      <c r="P19" s="18">
        <f t="shared" si="1"/>
        <v>4.6795235394214409E-2</v>
      </c>
    </row>
    <row r="20" spans="1:16" ht="17.25" customHeight="1" x14ac:dyDescent="0.25">
      <c r="A20" s="19" t="s">
        <v>35</v>
      </c>
      <c r="B20" s="17">
        <f>'[3]DP8 CAIHUASI S1'!B20+'[3]DP6 CAIHUASI S2'!B20</f>
        <v>36</v>
      </c>
      <c r="C20" s="17">
        <f>'[3]DP8 CAIHUASI S1'!C20+'[3]DP6 CAIHUASI S2'!C20</f>
        <v>6</v>
      </c>
      <c r="D20" s="17">
        <f>'[3]DP8 CAIHUASI S1'!D20+'[3]DP6 CAIHUASI S2'!D20</f>
        <v>15</v>
      </c>
      <c r="E20" s="17">
        <f>'[3]DP8 CAIHUASI S1'!E20+'[3]DP6 CAIHUASI S2'!E20</f>
        <v>0</v>
      </c>
      <c r="F20" s="17">
        <f>'[3]DP8 CAIHUASI S1'!F20+'[3]DP6 CAIHUASI S2'!F20</f>
        <v>1</v>
      </c>
      <c r="G20" s="17">
        <f>'[3]DP8 CAIHUASI S1'!G20+'[3]DP6 CAIHUASI S2'!G20</f>
        <v>9</v>
      </c>
      <c r="H20" s="17">
        <f>'[3]DP8 CAIHUASI S1'!H20+'[3]DP6 CAIHUASI S2'!H20</f>
        <v>0</v>
      </c>
      <c r="I20" s="17">
        <f>'[3]DP8 CAIHUASI S1'!I20+'[3]DP6 CAIHUASI S2'!I20</f>
        <v>2</v>
      </c>
      <c r="J20" s="17">
        <f>'[3]DP8 CAIHUASI S1'!J20+'[3]DP6 CAIHUASI S2'!J20</f>
        <v>8</v>
      </c>
      <c r="K20" s="17">
        <f>'[3]DP8 CAIHUASI S1'!K20+'[3]DP6 CAIHUASI S2'!K20</f>
        <v>7</v>
      </c>
      <c r="L20" s="17">
        <f>'[3]DP8 CAIHUASI S1'!L20+'[3]DP6 CAIHUASI S2'!L20</f>
        <v>3</v>
      </c>
      <c r="M20" s="17">
        <f>'[3]DP8 CAIHUASI S1'!M20+'[3]DP6 CAIHUASI S2'!M20</f>
        <v>1</v>
      </c>
      <c r="N20" s="17">
        <f>'[3]DP8 CAIHUASI S1'!N20+'[3]DP6 CAIHUASI S2'!N20</f>
        <v>0</v>
      </c>
      <c r="O20" s="17">
        <f t="shared" si="0"/>
        <v>88</v>
      </c>
      <c r="P20" s="18">
        <f t="shared" si="1"/>
        <v>2.4957458876914352E-2</v>
      </c>
    </row>
    <row r="21" spans="1:16" ht="17.25" customHeight="1" x14ac:dyDescent="0.25">
      <c r="A21" s="19" t="s">
        <v>36</v>
      </c>
      <c r="B21" s="17">
        <f>'[3]DP8 CAIHUASI S1'!B21+'[3]DP6 CAIHUASI S2'!B21</f>
        <v>55</v>
      </c>
      <c r="C21" s="17">
        <f>'[3]DP8 CAIHUASI S1'!C21+'[3]DP6 CAIHUASI S2'!C21</f>
        <v>7</v>
      </c>
      <c r="D21" s="17">
        <f>'[3]DP8 CAIHUASI S1'!D21+'[3]DP6 CAIHUASI S2'!D21</f>
        <v>27</v>
      </c>
      <c r="E21" s="17">
        <f>'[3]DP8 CAIHUASI S1'!E21+'[3]DP6 CAIHUASI S2'!E21</f>
        <v>2</v>
      </c>
      <c r="F21" s="17">
        <f>'[3]DP8 CAIHUASI S1'!F21+'[3]DP6 CAIHUASI S2'!F21</f>
        <v>2</v>
      </c>
      <c r="G21" s="17">
        <f>'[3]DP8 CAIHUASI S1'!G21+'[3]DP6 CAIHUASI S2'!G21</f>
        <v>19</v>
      </c>
      <c r="H21" s="17">
        <f>'[3]DP8 CAIHUASI S1'!H21+'[3]DP6 CAIHUASI S2'!H21</f>
        <v>1</v>
      </c>
      <c r="I21" s="17">
        <f>'[3]DP8 CAIHUASI S1'!I21+'[3]DP6 CAIHUASI S2'!I21</f>
        <v>8</v>
      </c>
      <c r="J21" s="17">
        <f>'[3]DP8 CAIHUASI S1'!J21+'[3]DP6 CAIHUASI S2'!J21</f>
        <v>5</v>
      </c>
      <c r="K21" s="17">
        <f>'[3]DP8 CAIHUASI S1'!K21+'[3]DP6 CAIHUASI S2'!K21</f>
        <v>17</v>
      </c>
      <c r="L21" s="17">
        <f>'[3]DP8 CAIHUASI S1'!L21+'[3]DP6 CAIHUASI S2'!L21</f>
        <v>5</v>
      </c>
      <c r="M21" s="17">
        <f>'[3]DP8 CAIHUASI S1'!M21+'[3]DP6 CAIHUASI S2'!M21</f>
        <v>0</v>
      </c>
      <c r="N21" s="17">
        <f>'[3]DP8 CAIHUASI S1'!N21+'[3]DP6 CAIHUASI S2'!N21</f>
        <v>0</v>
      </c>
      <c r="O21" s="17">
        <f t="shared" si="0"/>
        <v>148</v>
      </c>
      <c r="P21" s="18">
        <f t="shared" si="1"/>
        <v>4.1973908111174137E-2</v>
      </c>
    </row>
    <row r="22" spans="1:16" ht="17.25" customHeight="1" x14ac:dyDescent="0.25">
      <c r="A22" s="19" t="s">
        <v>37</v>
      </c>
      <c r="B22" s="17">
        <f>'[3]DP8 CAIHUASI S1'!B22+'[3]DP6 CAIHUASI S2'!B22</f>
        <v>62</v>
      </c>
      <c r="C22" s="17">
        <f>'[3]DP8 CAIHUASI S1'!C22+'[3]DP6 CAIHUASI S2'!C22</f>
        <v>11</v>
      </c>
      <c r="D22" s="17">
        <f>'[3]DP8 CAIHUASI S1'!D22+'[3]DP6 CAIHUASI S2'!D22</f>
        <v>31</v>
      </c>
      <c r="E22" s="17">
        <f>'[3]DP8 CAIHUASI S1'!E22+'[3]DP6 CAIHUASI S2'!E22</f>
        <v>1</v>
      </c>
      <c r="F22" s="17">
        <f>'[3]DP8 CAIHUASI S1'!F22+'[3]DP6 CAIHUASI S2'!F22</f>
        <v>0</v>
      </c>
      <c r="G22" s="17">
        <f>'[3]DP8 CAIHUASI S1'!G22+'[3]DP6 CAIHUASI S2'!G22</f>
        <v>25</v>
      </c>
      <c r="H22" s="17">
        <f>'[3]DP8 CAIHUASI S1'!H22+'[3]DP6 CAIHUASI S2'!H22</f>
        <v>1</v>
      </c>
      <c r="I22" s="17">
        <f>'[3]DP8 CAIHUASI S1'!I22+'[3]DP6 CAIHUASI S2'!I22</f>
        <v>5</v>
      </c>
      <c r="J22" s="17">
        <f>'[3]DP8 CAIHUASI S1'!J22+'[3]DP6 CAIHUASI S2'!J22</f>
        <v>7</v>
      </c>
      <c r="K22" s="17">
        <f>'[3]DP8 CAIHUASI S1'!K22+'[3]DP6 CAIHUASI S2'!K22</f>
        <v>10</v>
      </c>
      <c r="L22" s="17">
        <f>'[3]DP8 CAIHUASI S1'!L22+'[3]DP6 CAIHUASI S2'!L22</f>
        <v>2</v>
      </c>
      <c r="M22" s="17">
        <f>'[3]DP8 CAIHUASI S1'!M22+'[3]DP6 CAIHUASI S2'!M22</f>
        <v>2</v>
      </c>
      <c r="N22" s="17">
        <f>'[3]DP8 CAIHUASI S1'!N22+'[3]DP6 CAIHUASI S2'!N22</f>
        <v>0</v>
      </c>
      <c r="O22" s="17">
        <f t="shared" si="0"/>
        <v>157</v>
      </c>
      <c r="P22" s="18">
        <f t="shared" si="1"/>
        <v>4.4526375496313102E-2</v>
      </c>
    </row>
    <row r="23" spans="1:16" ht="17.25" customHeight="1" x14ac:dyDescent="0.25">
      <c r="A23" s="19" t="s">
        <v>38</v>
      </c>
      <c r="B23" s="17">
        <f>'[3]DP8 CAIHUASI S1'!B23+'[3]DP6 CAIHUASI S2'!B23</f>
        <v>61</v>
      </c>
      <c r="C23" s="17">
        <f>'[3]DP8 CAIHUASI S1'!C23+'[3]DP6 CAIHUASI S2'!C23</f>
        <v>4</v>
      </c>
      <c r="D23" s="17">
        <f>'[3]DP8 CAIHUASI S1'!D23+'[3]DP6 CAIHUASI S2'!D23</f>
        <v>37</v>
      </c>
      <c r="E23" s="17">
        <f>'[3]DP8 CAIHUASI S1'!E23+'[3]DP6 CAIHUASI S2'!E23</f>
        <v>0</v>
      </c>
      <c r="F23" s="17">
        <f>'[3]DP8 CAIHUASI S1'!F23+'[3]DP6 CAIHUASI S2'!F23</f>
        <v>3</v>
      </c>
      <c r="G23" s="17">
        <f>'[3]DP8 CAIHUASI S1'!G23+'[3]DP6 CAIHUASI S2'!G23</f>
        <v>24</v>
      </c>
      <c r="H23" s="17">
        <f>'[3]DP8 CAIHUASI S1'!H23+'[3]DP6 CAIHUASI S2'!H23</f>
        <v>1</v>
      </c>
      <c r="I23" s="17">
        <f>'[3]DP8 CAIHUASI S1'!I23+'[3]DP6 CAIHUASI S2'!I23</f>
        <v>2</v>
      </c>
      <c r="J23" s="17">
        <f>'[3]DP8 CAIHUASI S1'!J23+'[3]DP6 CAIHUASI S2'!J23</f>
        <v>5</v>
      </c>
      <c r="K23" s="17">
        <f>'[3]DP8 CAIHUASI S1'!K23+'[3]DP6 CAIHUASI S2'!K23</f>
        <v>3</v>
      </c>
      <c r="L23" s="17">
        <f>'[3]DP8 CAIHUASI S1'!L23+'[3]DP6 CAIHUASI S2'!L23</f>
        <v>1</v>
      </c>
      <c r="M23" s="17">
        <f>'[3]DP8 CAIHUASI S1'!M23+'[3]DP6 CAIHUASI S2'!M23</f>
        <v>1</v>
      </c>
      <c r="N23" s="17">
        <f>'[3]DP8 CAIHUASI S1'!N23+'[3]DP6 CAIHUASI S2'!N23</f>
        <v>0</v>
      </c>
      <c r="O23" s="17">
        <f t="shared" si="0"/>
        <v>142</v>
      </c>
      <c r="P23" s="18">
        <f t="shared" si="1"/>
        <v>4.027226318774816E-2</v>
      </c>
    </row>
    <row r="24" spans="1:16" ht="17.25" customHeight="1" x14ac:dyDescent="0.25">
      <c r="A24" s="28" t="s">
        <v>39</v>
      </c>
      <c r="B24" s="29">
        <f>'[3]DP8 CAIHUASI S1'!B24+'[3]DP6 CAIHUASI S2'!B24</f>
        <v>74</v>
      </c>
      <c r="C24" s="29">
        <f>'[3]DP8 CAIHUASI S1'!C24+'[3]DP6 CAIHUASI S2'!C24</f>
        <v>26</v>
      </c>
      <c r="D24" s="29">
        <f>'[3]DP8 CAIHUASI S1'!D24+'[3]DP6 CAIHUASI S2'!D24</f>
        <v>39</v>
      </c>
      <c r="E24" s="29">
        <f>'[3]DP8 CAIHUASI S1'!E24+'[3]DP6 CAIHUASI S2'!E24</f>
        <v>1</v>
      </c>
      <c r="F24" s="29">
        <f>'[3]DP8 CAIHUASI S1'!F24+'[3]DP6 CAIHUASI S2'!F24</f>
        <v>7</v>
      </c>
      <c r="G24" s="29">
        <f>'[3]DP8 CAIHUASI S1'!G24+'[3]DP6 CAIHUASI S2'!G24</f>
        <v>39</v>
      </c>
      <c r="H24" s="29">
        <f>'[3]DP8 CAIHUASI S1'!H24+'[3]DP6 CAIHUASI S2'!H24</f>
        <v>3</v>
      </c>
      <c r="I24" s="29">
        <f>'[3]DP8 CAIHUASI S1'!I24+'[3]DP6 CAIHUASI S2'!I24</f>
        <v>13</v>
      </c>
      <c r="J24" s="29">
        <f>'[3]DP8 CAIHUASI S1'!J24+'[3]DP6 CAIHUASI S2'!J24</f>
        <v>10</v>
      </c>
      <c r="K24" s="29">
        <f>'[3]DP8 CAIHUASI S1'!K24+'[3]DP6 CAIHUASI S2'!K24</f>
        <v>21</v>
      </c>
      <c r="L24" s="29">
        <f>'[3]DP8 CAIHUASI S1'!L24+'[3]DP6 CAIHUASI S2'!L24</f>
        <v>3</v>
      </c>
      <c r="M24" s="29">
        <f>'[3]DP8 CAIHUASI S1'!M24+'[3]DP6 CAIHUASI S2'!M24</f>
        <v>0</v>
      </c>
      <c r="N24" s="29">
        <f>'[3]DP8 CAIHUASI S1'!N24+'[3]DP6 CAIHUASI S2'!N24</f>
        <v>0</v>
      </c>
      <c r="O24" s="29">
        <f t="shared" si="0"/>
        <v>236</v>
      </c>
      <c r="P24" s="30">
        <f t="shared" si="1"/>
        <v>6.6931366988088492E-2</v>
      </c>
    </row>
    <row r="25" spans="1:16" ht="17.25" customHeight="1" x14ac:dyDescent="0.25">
      <c r="A25" s="19" t="s">
        <v>40</v>
      </c>
      <c r="B25" s="17">
        <f>'[3]DP8 CAIHUASI S1'!B25+'[3]DP6 CAIHUASI S2'!B25</f>
        <v>72</v>
      </c>
      <c r="C25" s="17">
        <f>'[3]DP8 CAIHUASI S1'!C25+'[3]DP6 CAIHUASI S2'!C25</f>
        <v>7</v>
      </c>
      <c r="D25" s="17">
        <f>'[3]DP8 CAIHUASI S1'!D25+'[3]DP6 CAIHUASI S2'!D25</f>
        <v>41</v>
      </c>
      <c r="E25" s="17">
        <f>'[3]DP8 CAIHUASI S1'!E25+'[3]DP6 CAIHUASI S2'!E25</f>
        <v>0</v>
      </c>
      <c r="F25" s="17">
        <f>'[3]DP8 CAIHUASI S1'!F25+'[3]DP6 CAIHUASI S2'!F25</f>
        <v>1</v>
      </c>
      <c r="G25" s="17">
        <f>'[3]DP8 CAIHUASI S1'!G25+'[3]DP6 CAIHUASI S2'!G25</f>
        <v>11</v>
      </c>
      <c r="H25" s="17">
        <f>'[3]DP8 CAIHUASI S1'!H25+'[3]DP6 CAIHUASI S2'!H25</f>
        <v>7</v>
      </c>
      <c r="I25" s="17">
        <f>'[3]DP8 CAIHUASI S1'!I25+'[3]DP6 CAIHUASI S2'!I25</f>
        <v>8</v>
      </c>
      <c r="J25" s="17">
        <f>'[3]DP8 CAIHUASI S1'!J25+'[3]DP6 CAIHUASI S2'!J25</f>
        <v>3</v>
      </c>
      <c r="K25" s="17">
        <f>'[3]DP8 CAIHUASI S1'!K25+'[3]DP6 CAIHUASI S2'!K25</f>
        <v>9</v>
      </c>
      <c r="L25" s="17">
        <f>'[3]DP8 CAIHUASI S1'!L25+'[3]DP6 CAIHUASI S2'!L25</f>
        <v>2</v>
      </c>
      <c r="M25" s="17">
        <f>'[3]DP8 CAIHUASI S1'!M25+'[3]DP6 CAIHUASI S2'!M25</f>
        <v>0</v>
      </c>
      <c r="N25" s="17">
        <f>'[3]DP8 CAIHUASI S1'!N25+'[3]DP6 CAIHUASI S2'!N25</f>
        <v>0</v>
      </c>
      <c r="O25" s="17">
        <f t="shared" si="0"/>
        <v>161</v>
      </c>
      <c r="P25" s="18">
        <f t="shared" si="1"/>
        <v>4.5660805445263755E-2</v>
      </c>
    </row>
    <row r="26" spans="1:16" ht="17.25" customHeight="1" x14ac:dyDescent="0.25">
      <c r="A26" s="19" t="s">
        <v>41</v>
      </c>
      <c r="B26" s="17">
        <f>'[3]DP8 CAIHUASI S1'!B26+'[3]DP6 CAIHUASI S2'!B26</f>
        <v>79</v>
      </c>
      <c r="C26" s="17">
        <f>'[3]DP8 CAIHUASI S1'!C26+'[3]DP6 CAIHUASI S2'!C26</f>
        <v>11</v>
      </c>
      <c r="D26" s="17">
        <f>'[3]DP8 CAIHUASI S1'!D26+'[3]DP6 CAIHUASI S2'!D26</f>
        <v>25</v>
      </c>
      <c r="E26" s="17">
        <f>'[3]DP8 CAIHUASI S1'!E26+'[3]DP6 CAIHUASI S2'!E26</f>
        <v>0</v>
      </c>
      <c r="F26" s="17">
        <f>'[3]DP8 CAIHUASI S1'!F26+'[3]DP6 CAIHUASI S2'!F26</f>
        <v>7</v>
      </c>
      <c r="G26" s="17">
        <f>'[3]DP8 CAIHUASI S1'!G26+'[3]DP6 CAIHUASI S2'!G26</f>
        <v>31</v>
      </c>
      <c r="H26" s="17">
        <f>'[3]DP8 CAIHUASI S1'!H26+'[3]DP6 CAIHUASI S2'!H26</f>
        <v>0</v>
      </c>
      <c r="I26" s="17">
        <f>'[3]DP8 CAIHUASI S1'!I26+'[3]DP6 CAIHUASI S2'!I26</f>
        <v>18</v>
      </c>
      <c r="J26" s="17">
        <f>'[3]DP8 CAIHUASI S1'!J26+'[3]DP6 CAIHUASI S2'!J26</f>
        <v>13</v>
      </c>
      <c r="K26" s="17">
        <f>'[3]DP8 CAIHUASI S1'!K26+'[3]DP6 CAIHUASI S2'!K26</f>
        <v>13</v>
      </c>
      <c r="L26" s="17">
        <f>'[3]DP8 CAIHUASI S1'!L26+'[3]DP6 CAIHUASI S2'!L26</f>
        <v>6</v>
      </c>
      <c r="M26" s="17">
        <f>'[3]DP8 CAIHUASI S1'!M26+'[3]DP6 CAIHUASI S2'!M26</f>
        <v>1</v>
      </c>
      <c r="N26" s="17">
        <f>'[3]DP8 CAIHUASI S1'!N26+'[3]DP6 CAIHUASI S2'!N26</f>
        <v>0</v>
      </c>
      <c r="O26" s="17">
        <f t="shared" si="0"/>
        <v>204</v>
      </c>
      <c r="P26" s="18">
        <f t="shared" si="1"/>
        <v>5.7855927396483264E-2</v>
      </c>
    </row>
    <row r="27" spans="1:16" ht="17.25" customHeight="1" x14ac:dyDescent="0.25">
      <c r="A27" s="19" t="s">
        <v>42</v>
      </c>
      <c r="B27" s="17">
        <f>'[3]DP8 CAIHUASI S1'!B27+'[3]DP6 CAIHUASI S2'!B27</f>
        <v>77</v>
      </c>
      <c r="C27" s="17">
        <f>'[3]DP8 CAIHUASI S1'!C27+'[3]DP6 CAIHUASI S2'!C27</f>
        <v>7</v>
      </c>
      <c r="D27" s="17">
        <f>'[3]DP8 CAIHUASI S1'!D27+'[3]DP6 CAIHUASI S2'!D27</f>
        <v>37</v>
      </c>
      <c r="E27" s="17">
        <f>'[3]DP8 CAIHUASI S1'!E27+'[3]DP6 CAIHUASI S2'!E27</f>
        <v>0</v>
      </c>
      <c r="F27" s="17">
        <f>'[3]DP8 CAIHUASI S1'!F27+'[3]DP6 CAIHUASI S2'!F27</f>
        <v>1</v>
      </c>
      <c r="G27" s="17">
        <f>'[3]DP8 CAIHUASI S1'!G27+'[3]DP6 CAIHUASI S2'!G27</f>
        <v>25</v>
      </c>
      <c r="H27" s="17">
        <f>'[3]DP8 CAIHUASI S1'!H27+'[3]DP6 CAIHUASI S2'!H27</f>
        <v>5</v>
      </c>
      <c r="I27" s="17">
        <f>'[3]DP8 CAIHUASI S1'!I27+'[3]DP6 CAIHUASI S2'!I27</f>
        <v>9</v>
      </c>
      <c r="J27" s="17">
        <f>'[3]DP8 CAIHUASI S1'!J27+'[3]DP6 CAIHUASI S2'!J27</f>
        <v>20</v>
      </c>
      <c r="K27" s="17">
        <f>'[3]DP8 CAIHUASI S1'!K27+'[3]DP6 CAIHUASI S2'!K27</f>
        <v>12</v>
      </c>
      <c r="L27" s="17">
        <f>'[3]DP8 CAIHUASI S1'!L27+'[3]DP6 CAIHUASI S2'!L27</f>
        <v>7</v>
      </c>
      <c r="M27" s="17">
        <f>'[3]DP8 CAIHUASI S1'!M27+'[3]DP6 CAIHUASI S2'!M27</f>
        <v>1</v>
      </c>
      <c r="N27" s="17">
        <f>'[3]DP8 CAIHUASI S1'!N27+'[3]DP6 CAIHUASI S2'!N27</f>
        <v>0</v>
      </c>
      <c r="O27" s="17">
        <f t="shared" si="0"/>
        <v>201</v>
      </c>
      <c r="P27" s="18">
        <f t="shared" si="1"/>
        <v>5.7005104934770276E-2</v>
      </c>
    </row>
    <row r="28" spans="1:16" ht="17.25" customHeight="1" x14ac:dyDescent="0.25">
      <c r="A28" s="19" t="s">
        <v>43</v>
      </c>
      <c r="B28" s="17">
        <f>'[3]DP8 CAIHUASI S1'!B28+'[3]DP6 CAIHUASI S2'!B28</f>
        <v>73</v>
      </c>
      <c r="C28" s="17">
        <f>'[3]DP8 CAIHUASI S1'!C28+'[3]DP6 CAIHUASI S2'!C28</f>
        <v>7</v>
      </c>
      <c r="D28" s="17">
        <f>'[3]DP8 CAIHUASI S1'!D28+'[3]DP6 CAIHUASI S2'!D28</f>
        <v>32</v>
      </c>
      <c r="E28" s="17">
        <f>'[3]DP8 CAIHUASI S1'!E28+'[3]DP6 CAIHUASI S2'!E28</f>
        <v>0</v>
      </c>
      <c r="F28" s="17">
        <f>'[3]DP8 CAIHUASI S1'!F28+'[3]DP6 CAIHUASI S2'!F28</f>
        <v>3</v>
      </c>
      <c r="G28" s="17">
        <f>'[3]DP8 CAIHUASI S1'!G28+'[3]DP6 CAIHUASI S2'!G28</f>
        <v>31</v>
      </c>
      <c r="H28" s="17">
        <f>'[3]DP8 CAIHUASI S1'!H28+'[3]DP6 CAIHUASI S2'!H28</f>
        <v>1</v>
      </c>
      <c r="I28" s="17">
        <f>'[3]DP8 CAIHUASI S1'!I28+'[3]DP6 CAIHUASI S2'!I28</f>
        <v>21</v>
      </c>
      <c r="J28" s="17">
        <f>'[3]DP8 CAIHUASI S1'!J28+'[3]DP6 CAIHUASI S2'!J28</f>
        <v>27</v>
      </c>
      <c r="K28" s="17">
        <f>'[3]DP8 CAIHUASI S1'!K28+'[3]DP6 CAIHUASI S2'!K28</f>
        <v>23</v>
      </c>
      <c r="L28" s="17">
        <f>'[3]DP8 CAIHUASI S1'!L28+'[3]DP6 CAIHUASI S2'!L28</f>
        <v>2</v>
      </c>
      <c r="M28" s="17">
        <f>'[3]DP8 CAIHUASI S1'!M28+'[3]DP6 CAIHUASI S2'!M28</f>
        <v>3</v>
      </c>
      <c r="N28" s="17">
        <f>'[3]DP8 CAIHUASI S1'!N28+'[3]DP6 CAIHUASI S2'!N28</f>
        <v>0</v>
      </c>
      <c r="O28" s="17">
        <f t="shared" si="0"/>
        <v>223</v>
      </c>
      <c r="P28" s="18">
        <f t="shared" si="1"/>
        <v>6.3244469653998867E-2</v>
      </c>
    </row>
    <row r="29" spans="1:16" ht="17.25" customHeight="1" x14ac:dyDescent="0.25">
      <c r="A29" s="19" t="s">
        <v>44</v>
      </c>
      <c r="B29" s="17">
        <f>'[3]DP8 CAIHUASI S1'!B29+'[3]DP6 CAIHUASI S2'!B29</f>
        <v>53</v>
      </c>
      <c r="C29" s="17">
        <f>'[3]DP8 CAIHUASI S1'!C29+'[3]DP6 CAIHUASI S2'!C29</f>
        <v>9</v>
      </c>
      <c r="D29" s="17">
        <f>'[3]DP8 CAIHUASI S1'!D29+'[3]DP6 CAIHUASI S2'!D29</f>
        <v>25</v>
      </c>
      <c r="E29" s="17">
        <f>'[3]DP8 CAIHUASI S1'!E29+'[3]DP6 CAIHUASI S2'!E29</f>
        <v>0</v>
      </c>
      <c r="F29" s="17">
        <f>'[3]DP8 CAIHUASI S1'!F29+'[3]DP6 CAIHUASI S2'!F29</f>
        <v>0</v>
      </c>
      <c r="G29" s="17">
        <f>'[3]DP8 CAIHUASI S1'!G29+'[3]DP6 CAIHUASI S2'!G29</f>
        <v>20</v>
      </c>
      <c r="H29" s="17">
        <f>'[3]DP8 CAIHUASI S1'!H29+'[3]DP6 CAIHUASI S2'!H29</f>
        <v>1</v>
      </c>
      <c r="I29" s="17">
        <f>'[3]DP8 CAIHUASI S1'!I29+'[3]DP6 CAIHUASI S2'!I29</f>
        <v>11</v>
      </c>
      <c r="J29" s="17">
        <f>'[3]DP8 CAIHUASI S1'!J29+'[3]DP6 CAIHUASI S2'!J29</f>
        <v>7</v>
      </c>
      <c r="K29" s="17">
        <f>'[3]DP8 CAIHUASI S1'!K29+'[3]DP6 CAIHUASI S2'!K29</f>
        <v>17</v>
      </c>
      <c r="L29" s="17">
        <f>'[3]DP8 CAIHUASI S1'!L29+'[3]DP6 CAIHUASI S2'!L29</f>
        <v>3</v>
      </c>
      <c r="M29" s="17">
        <f>'[3]DP8 CAIHUASI S1'!M29+'[3]DP6 CAIHUASI S2'!M29</f>
        <v>2</v>
      </c>
      <c r="N29" s="17">
        <f>'[3]DP8 CAIHUASI S1'!N29+'[3]DP6 CAIHUASI S2'!N29</f>
        <v>0</v>
      </c>
      <c r="O29" s="17">
        <f t="shared" si="0"/>
        <v>148</v>
      </c>
      <c r="P29" s="18">
        <f t="shared" si="1"/>
        <v>4.1973908111174137E-2</v>
      </c>
    </row>
    <row r="30" spans="1:16" ht="17.25" customHeight="1" x14ac:dyDescent="0.25">
      <c r="A30" s="19" t="s">
        <v>45</v>
      </c>
      <c r="B30" s="17">
        <f>'[3]DP8 CAIHUASI S1'!B30+'[3]DP6 CAIHUASI S2'!B30</f>
        <v>57</v>
      </c>
      <c r="C30" s="17">
        <f>'[3]DP8 CAIHUASI S1'!C30+'[3]DP6 CAIHUASI S2'!C30</f>
        <v>8</v>
      </c>
      <c r="D30" s="17">
        <f>'[3]DP8 CAIHUASI S1'!D30+'[3]DP6 CAIHUASI S2'!D30</f>
        <v>18</v>
      </c>
      <c r="E30" s="17">
        <f>'[3]DP8 CAIHUASI S1'!E30+'[3]DP6 CAIHUASI S2'!E30</f>
        <v>0</v>
      </c>
      <c r="F30" s="17">
        <f>'[3]DP8 CAIHUASI S1'!F30+'[3]DP6 CAIHUASI S2'!F30</f>
        <v>3</v>
      </c>
      <c r="G30" s="17">
        <f>'[3]DP8 CAIHUASI S1'!G30+'[3]DP6 CAIHUASI S2'!G30</f>
        <v>17</v>
      </c>
      <c r="H30" s="17">
        <f>'[3]DP8 CAIHUASI S1'!H30+'[3]DP6 CAIHUASI S2'!H30</f>
        <v>2</v>
      </c>
      <c r="I30" s="17">
        <f>'[3]DP8 CAIHUASI S1'!I30+'[3]DP6 CAIHUASI S2'!I30</f>
        <v>9</v>
      </c>
      <c r="J30" s="17">
        <f>'[3]DP8 CAIHUASI S1'!J30+'[3]DP6 CAIHUASI S2'!J30</f>
        <v>14</v>
      </c>
      <c r="K30" s="17">
        <f>'[3]DP8 CAIHUASI S1'!K30+'[3]DP6 CAIHUASI S2'!K30</f>
        <v>12</v>
      </c>
      <c r="L30" s="17">
        <f>'[3]DP8 CAIHUASI S1'!L30+'[3]DP6 CAIHUASI S2'!L30</f>
        <v>6</v>
      </c>
      <c r="M30" s="17">
        <f>'[3]DP8 CAIHUASI S1'!M30+'[3]DP6 CAIHUASI S2'!M30</f>
        <v>1</v>
      </c>
      <c r="N30" s="17">
        <f>'[3]DP8 CAIHUASI S1'!N30+'[3]DP6 CAIHUASI S2'!N30</f>
        <v>0</v>
      </c>
      <c r="O30" s="17">
        <f t="shared" si="0"/>
        <v>147</v>
      </c>
      <c r="P30" s="18">
        <f t="shared" si="1"/>
        <v>4.1690300623936472E-2</v>
      </c>
    </row>
    <row r="31" spans="1:16" ht="17.25" customHeight="1" x14ac:dyDescent="0.25">
      <c r="A31" s="19" t="s">
        <v>46</v>
      </c>
      <c r="B31" s="17">
        <f>'[3]DP8 CAIHUASI S1'!B31+'[3]DP6 CAIHUASI S2'!B31</f>
        <v>39</v>
      </c>
      <c r="C31" s="17">
        <f>'[3]DP8 CAIHUASI S1'!C31+'[3]DP6 CAIHUASI S2'!C31</f>
        <v>11</v>
      </c>
      <c r="D31" s="17">
        <f>'[3]DP8 CAIHUASI S1'!D31+'[3]DP6 CAIHUASI S2'!D31</f>
        <v>18</v>
      </c>
      <c r="E31" s="17">
        <f>'[3]DP8 CAIHUASI S1'!E31+'[3]DP6 CAIHUASI S2'!E31</f>
        <v>0</v>
      </c>
      <c r="F31" s="17">
        <f>'[3]DP8 CAIHUASI S1'!F31+'[3]DP6 CAIHUASI S2'!F31</f>
        <v>2</v>
      </c>
      <c r="G31" s="17">
        <f>'[3]DP8 CAIHUASI S1'!G31+'[3]DP6 CAIHUASI S2'!G31</f>
        <v>13</v>
      </c>
      <c r="H31" s="17">
        <f>'[3]DP8 CAIHUASI S1'!H31+'[3]DP6 CAIHUASI S2'!H31</f>
        <v>2</v>
      </c>
      <c r="I31" s="17">
        <f>'[3]DP8 CAIHUASI S1'!I31+'[3]DP6 CAIHUASI S2'!I31</f>
        <v>10</v>
      </c>
      <c r="J31" s="17">
        <f>'[3]DP8 CAIHUASI S1'!J31+'[3]DP6 CAIHUASI S2'!J31</f>
        <v>28</v>
      </c>
      <c r="K31" s="17">
        <f>'[3]DP8 CAIHUASI S1'!K31+'[3]DP6 CAIHUASI S2'!K31</f>
        <v>19</v>
      </c>
      <c r="L31" s="17">
        <f>'[3]DP8 CAIHUASI S1'!L31+'[3]DP6 CAIHUASI S2'!L31</f>
        <v>7</v>
      </c>
      <c r="M31" s="17">
        <f>'[3]DP8 CAIHUASI S1'!M31+'[3]DP6 CAIHUASI S2'!M31</f>
        <v>0</v>
      </c>
      <c r="N31" s="17">
        <f>'[3]DP8 CAIHUASI S1'!N31+'[3]DP6 CAIHUASI S2'!N31</f>
        <v>0</v>
      </c>
      <c r="O31" s="17">
        <f t="shared" si="0"/>
        <v>149</v>
      </c>
      <c r="P31" s="18">
        <f t="shared" si="1"/>
        <v>4.2257515598411795E-2</v>
      </c>
    </row>
    <row r="32" spans="1:16" ht="17.25" customHeight="1" x14ac:dyDescent="0.25">
      <c r="A32" s="19" t="s">
        <v>47</v>
      </c>
      <c r="B32" s="17">
        <f>'[3]DP8 CAIHUASI S1'!B32+'[3]DP6 CAIHUASI S2'!B32</f>
        <v>19</v>
      </c>
      <c r="C32" s="17">
        <f>'[3]DP8 CAIHUASI S1'!C32+'[3]DP6 CAIHUASI S2'!C32</f>
        <v>4</v>
      </c>
      <c r="D32" s="17">
        <f>'[3]DP8 CAIHUASI S1'!D32+'[3]DP6 CAIHUASI S2'!D32</f>
        <v>13</v>
      </c>
      <c r="E32" s="17">
        <f>'[3]DP8 CAIHUASI S1'!E32+'[3]DP6 CAIHUASI S2'!E32</f>
        <v>0</v>
      </c>
      <c r="F32" s="17">
        <f>'[3]DP8 CAIHUASI S1'!F32+'[3]DP6 CAIHUASI S2'!F32</f>
        <v>0</v>
      </c>
      <c r="G32" s="17">
        <f>'[3]DP8 CAIHUASI S1'!G32+'[3]DP6 CAIHUASI S2'!G32</f>
        <v>17</v>
      </c>
      <c r="H32" s="17">
        <f>'[3]DP8 CAIHUASI S1'!H32+'[3]DP6 CAIHUASI S2'!H32</f>
        <v>3</v>
      </c>
      <c r="I32" s="17">
        <f>'[3]DP8 CAIHUASI S1'!I32+'[3]DP6 CAIHUASI S2'!I32</f>
        <v>10</v>
      </c>
      <c r="J32" s="17">
        <f>'[3]DP8 CAIHUASI S1'!J32+'[3]DP6 CAIHUASI S2'!J32</f>
        <v>25</v>
      </c>
      <c r="K32" s="17">
        <f>'[3]DP8 CAIHUASI S1'!K32+'[3]DP6 CAIHUASI S2'!K32</f>
        <v>24</v>
      </c>
      <c r="L32" s="17">
        <f>'[3]DP8 CAIHUASI S1'!L32+'[3]DP6 CAIHUASI S2'!L32</f>
        <v>14</v>
      </c>
      <c r="M32" s="17">
        <f>'[3]DP8 CAIHUASI S1'!M32+'[3]DP6 CAIHUASI S2'!M32</f>
        <v>0</v>
      </c>
      <c r="N32" s="17">
        <f>'[3]DP8 CAIHUASI S1'!N32+'[3]DP6 CAIHUASI S2'!N32</f>
        <v>0</v>
      </c>
      <c r="O32" s="17">
        <f t="shared" si="0"/>
        <v>129</v>
      </c>
      <c r="P32" s="18">
        <f t="shared" si="1"/>
        <v>3.6585365853658534E-2</v>
      </c>
    </row>
    <row r="33" spans="1:16" ht="17.25" customHeight="1" x14ac:dyDescent="0.25">
      <c r="A33" s="19" t="s">
        <v>48</v>
      </c>
      <c r="B33" s="17">
        <f>'[3]DP8 CAIHUASI S1'!B33+'[3]DP6 CAIHUASI S2'!B33</f>
        <v>54</v>
      </c>
      <c r="C33" s="17">
        <f>'[3]DP8 CAIHUASI S1'!C33+'[3]DP6 CAIHUASI S2'!C33</f>
        <v>5</v>
      </c>
      <c r="D33" s="17">
        <f>'[3]DP8 CAIHUASI S1'!D33+'[3]DP6 CAIHUASI S2'!D33</f>
        <v>45</v>
      </c>
      <c r="E33" s="17">
        <f>'[3]DP8 CAIHUASI S1'!E33+'[3]DP6 CAIHUASI S2'!E33</f>
        <v>1</v>
      </c>
      <c r="F33" s="17">
        <f>'[3]DP8 CAIHUASI S1'!F33+'[3]DP6 CAIHUASI S2'!F33</f>
        <v>2</v>
      </c>
      <c r="G33" s="17">
        <f>'[3]DP8 CAIHUASI S1'!G33+'[3]DP6 CAIHUASI S2'!G33</f>
        <v>32</v>
      </c>
      <c r="H33" s="17">
        <f>'[3]DP8 CAIHUASI S1'!H33+'[3]DP6 CAIHUASI S2'!H33</f>
        <v>2</v>
      </c>
      <c r="I33" s="17">
        <f>'[3]DP8 CAIHUASI S1'!I33+'[3]DP6 CAIHUASI S2'!I33</f>
        <v>21</v>
      </c>
      <c r="J33" s="17">
        <f>'[3]DP8 CAIHUASI S1'!J33+'[3]DP6 CAIHUASI S2'!J33</f>
        <v>19</v>
      </c>
      <c r="K33" s="17">
        <f>'[3]DP8 CAIHUASI S1'!K33+'[3]DP6 CAIHUASI S2'!K33</f>
        <v>25</v>
      </c>
      <c r="L33" s="17">
        <f>'[3]DP8 CAIHUASI S1'!L33+'[3]DP6 CAIHUASI S2'!L33</f>
        <v>6</v>
      </c>
      <c r="M33" s="17">
        <f>'[3]DP8 CAIHUASI S1'!M33+'[3]DP6 CAIHUASI S2'!M33</f>
        <v>0</v>
      </c>
      <c r="N33" s="17">
        <f>'[3]DP8 CAIHUASI S1'!N33+'[3]DP6 CAIHUASI S2'!N33</f>
        <v>0</v>
      </c>
      <c r="O33" s="17">
        <f t="shared" si="0"/>
        <v>212</v>
      </c>
      <c r="P33" s="18">
        <f t="shared" si="1"/>
        <v>6.0124787294384571E-2</v>
      </c>
    </row>
    <row r="34" spans="1:16" ht="17.25" customHeight="1" thickBot="1" x14ac:dyDescent="0.3">
      <c r="A34" s="20" t="s">
        <v>49</v>
      </c>
      <c r="B34" s="17">
        <f>'[3]DP8 CAIHUASI S1'!B34+'[3]DP6 CAIHUASI S2'!B34</f>
        <v>11</v>
      </c>
      <c r="C34" s="17">
        <f>'[3]DP8 CAIHUASI S1'!C34+'[3]DP6 CAIHUASI S2'!C34</f>
        <v>2</v>
      </c>
      <c r="D34" s="17">
        <f>'[3]DP8 CAIHUASI S1'!D34+'[3]DP6 CAIHUASI S2'!D34</f>
        <v>5</v>
      </c>
      <c r="E34" s="17">
        <f>'[3]DP8 CAIHUASI S1'!E34+'[3]DP6 CAIHUASI S2'!E34</f>
        <v>0</v>
      </c>
      <c r="F34" s="17">
        <f>'[3]DP8 CAIHUASI S1'!F34+'[3]DP6 CAIHUASI S2'!F34</f>
        <v>2</v>
      </c>
      <c r="G34" s="17">
        <f>'[3]DP8 CAIHUASI S1'!G34+'[3]DP6 CAIHUASI S2'!G34</f>
        <v>3</v>
      </c>
      <c r="H34" s="17">
        <f>'[3]DP8 CAIHUASI S1'!H34+'[3]DP6 CAIHUASI S2'!H34</f>
        <v>1</v>
      </c>
      <c r="I34" s="17">
        <f>'[3]DP8 CAIHUASI S1'!I34+'[3]DP6 CAIHUASI S2'!I34</f>
        <v>3</v>
      </c>
      <c r="J34" s="17">
        <f>'[3]DP8 CAIHUASI S1'!J34+'[3]DP6 CAIHUASI S2'!J34</f>
        <v>10</v>
      </c>
      <c r="K34" s="17">
        <f>'[3]DP8 CAIHUASI S1'!K34+'[3]DP6 CAIHUASI S2'!K34</f>
        <v>8</v>
      </c>
      <c r="L34" s="17">
        <f>'[3]DP8 CAIHUASI S1'!L34+'[3]DP6 CAIHUASI S2'!L34</f>
        <v>1</v>
      </c>
      <c r="M34" s="17">
        <f>'[3]DP8 CAIHUASI S1'!M34+'[3]DP6 CAIHUASI S2'!M34</f>
        <v>0</v>
      </c>
      <c r="N34" s="17">
        <f>'[3]DP8 CAIHUASI S1'!N34+'[3]DP6 CAIHUASI S2'!N34</f>
        <v>0</v>
      </c>
      <c r="O34" s="17">
        <f t="shared" si="0"/>
        <v>46</v>
      </c>
      <c r="P34" s="18">
        <f t="shared" si="1"/>
        <v>1.3045944412932501E-2</v>
      </c>
    </row>
    <row r="35" spans="1:16" ht="17.25" customHeight="1" thickBot="1" x14ac:dyDescent="0.3">
      <c r="A35" s="21" t="s">
        <v>24</v>
      </c>
      <c r="B35" s="22">
        <f t="shared" ref="B35:P35" si="2">SUM(B11:B34)</f>
        <v>1108</v>
      </c>
      <c r="C35" s="22">
        <f t="shared" si="2"/>
        <v>169</v>
      </c>
      <c r="D35" s="22">
        <f t="shared" si="2"/>
        <v>535</v>
      </c>
      <c r="E35" s="22">
        <f t="shared" si="2"/>
        <v>6</v>
      </c>
      <c r="F35" s="22">
        <f t="shared" si="2"/>
        <v>102</v>
      </c>
      <c r="G35" s="22">
        <f t="shared" si="2"/>
        <v>578</v>
      </c>
      <c r="H35" s="22">
        <f t="shared" si="2"/>
        <v>45</v>
      </c>
      <c r="I35" s="22">
        <f t="shared" si="2"/>
        <v>219</v>
      </c>
      <c r="J35" s="22">
        <f t="shared" si="2"/>
        <v>299</v>
      </c>
      <c r="K35" s="22">
        <f t="shared" si="2"/>
        <v>329</v>
      </c>
      <c r="L35" s="22">
        <f t="shared" si="2"/>
        <v>115</v>
      </c>
      <c r="M35" s="22">
        <f t="shared" si="2"/>
        <v>21</v>
      </c>
      <c r="N35" s="22">
        <f t="shared" si="2"/>
        <v>0</v>
      </c>
      <c r="O35" s="22">
        <f t="shared" si="2"/>
        <v>3526</v>
      </c>
      <c r="P35" s="23">
        <f t="shared" si="2"/>
        <v>1.0000000000000002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0.31423709585933068</v>
      </c>
      <c r="C36" s="25">
        <f t="shared" si="3"/>
        <v>4.7929665343165062E-2</v>
      </c>
      <c r="D36" s="25">
        <f t="shared" si="3"/>
        <v>0.15173000567214975</v>
      </c>
      <c r="E36" s="25">
        <f t="shared" si="3"/>
        <v>1.7016449234259785E-3</v>
      </c>
      <c r="F36" s="25">
        <f t="shared" si="3"/>
        <v>2.8927963698241632E-2</v>
      </c>
      <c r="G36" s="25">
        <f t="shared" si="3"/>
        <v>0.16392512762336925</v>
      </c>
      <c r="H36" s="25">
        <f t="shared" si="3"/>
        <v>1.2762336925694838E-2</v>
      </c>
      <c r="I36" s="25">
        <f t="shared" si="3"/>
        <v>6.2110039705048213E-2</v>
      </c>
      <c r="J36" s="25">
        <f t="shared" si="3"/>
        <v>8.4798638684061262E-2</v>
      </c>
      <c r="K36" s="25">
        <f t="shared" si="3"/>
        <v>9.3306863301191145E-2</v>
      </c>
      <c r="L36" s="25">
        <f t="shared" si="3"/>
        <v>3.2614861032331251E-2</v>
      </c>
      <c r="M36" s="25">
        <f t="shared" si="3"/>
        <v>5.9557572319909246E-3</v>
      </c>
      <c r="N36" s="25">
        <f t="shared" si="3"/>
        <v>0</v>
      </c>
      <c r="O36" s="25">
        <f>SUM(B36:N36)</f>
        <v>1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63"/>
      <c r="T3" s="63"/>
      <c r="U3" s="63"/>
      <c r="V3" s="63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'[4]DP8 CAIHUASI S1'!B11+'[4]DP6 CAIHUASI S2'!B11</f>
        <v>15</v>
      </c>
      <c r="C11" s="17">
        <f>'[4]DP8 CAIHUASI S1'!C11+'[4]DP6 CAIHUASI S2'!C11</f>
        <v>0</v>
      </c>
      <c r="D11" s="17">
        <f>'[4]DP8 CAIHUASI S1'!D11+'[4]DP6 CAIHUASI S2'!D11</f>
        <v>6</v>
      </c>
      <c r="E11" s="17">
        <f>'[4]DP8 CAIHUASI S1'!E11+'[4]DP6 CAIHUASI S2'!E11</f>
        <v>0</v>
      </c>
      <c r="F11" s="17">
        <f>'[4]DP8 CAIHUASI S1'!F11+'[4]DP6 CAIHUASI S2'!F11</f>
        <v>5</v>
      </c>
      <c r="G11" s="17">
        <f>'[4]DP8 CAIHUASI S1'!G11+'[4]DP6 CAIHUASI S2'!G11</f>
        <v>24</v>
      </c>
      <c r="H11" s="17">
        <f>'[4]DP8 CAIHUASI S1'!H11+'[4]DP6 CAIHUASI S2'!H11</f>
        <v>1</v>
      </c>
      <c r="I11" s="17">
        <f>'[4]DP8 CAIHUASI S1'!I11+'[4]DP6 CAIHUASI S2'!I11</f>
        <v>13</v>
      </c>
      <c r="J11" s="17">
        <f>'[4]DP8 CAIHUASI S1'!J11+'[4]DP6 CAIHUASI S2'!J11</f>
        <v>26</v>
      </c>
      <c r="K11" s="17">
        <f>'[4]DP8 CAIHUASI S1'!K11+'[4]DP6 CAIHUASI S2'!K11</f>
        <v>14</v>
      </c>
      <c r="L11" s="17">
        <f>'[4]DP8 CAIHUASI S1'!L11+'[4]DP6 CAIHUASI S2'!L11</f>
        <v>5</v>
      </c>
      <c r="M11" s="17">
        <f>'[4]DP8 CAIHUASI S1'!M11+'[4]DP6 CAIHUASI S2'!M11</f>
        <v>0</v>
      </c>
      <c r="N11" s="17">
        <f>'[4]DP8 CAIHUASI S1'!N11+'[4]DP6 CAIHUASI S2'!N11</f>
        <v>0</v>
      </c>
      <c r="O11" s="17">
        <f t="shared" ref="O11:O34" si="0">SUM(B11:N11)</f>
        <v>109</v>
      </c>
      <c r="P11" s="18">
        <f t="shared" ref="P11:P34" si="1">O11/$O$35</f>
        <v>3.4051858794126838E-2</v>
      </c>
    </row>
    <row r="12" spans="1:32" ht="17.25" customHeight="1" x14ac:dyDescent="0.25">
      <c r="A12" s="19" t="s">
        <v>27</v>
      </c>
      <c r="B12" s="17">
        <f>'[4]DP8 CAIHUASI S1'!B12+'[4]DP6 CAIHUASI S2'!B12</f>
        <v>11</v>
      </c>
      <c r="C12" s="17">
        <f>'[4]DP8 CAIHUASI S1'!C12+'[4]DP6 CAIHUASI S2'!C12</f>
        <v>4</v>
      </c>
      <c r="D12" s="17">
        <f>'[4]DP8 CAIHUASI S1'!D12+'[4]DP6 CAIHUASI S2'!D12</f>
        <v>4</v>
      </c>
      <c r="E12" s="17">
        <f>'[4]DP8 CAIHUASI S1'!E12+'[4]DP6 CAIHUASI S2'!E12</f>
        <v>0</v>
      </c>
      <c r="F12" s="17">
        <f>'[4]DP8 CAIHUASI S1'!F12+'[4]DP6 CAIHUASI S2'!F12</f>
        <v>7</v>
      </c>
      <c r="G12" s="17">
        <f>'[4]DP8 CAIHUASI S1'!G12+'[4]DP6 CAIHUASI S2'!G12</f>
        <v>41</v>
      </c>
      <c r="H12" s="17">
        <f>'[4]DP8 CAIHUASI S1'!H12+'[4]DP6 CAIHUASI S2'!H12</f>
        <v>1</v>
      </c>
      <c r="I12" s="17">
        <f>'[4]DP8 CAIHUASI S1'!I12+'[4]DP6 CAIHUASI S2'!I12</f>
        <v>8</v>
      </c>
      <c r="J12" s="17">
        <f>'[4]DP8 CAIHUASI S1'!J12+'[4]DP6 CAIHUASI S2'!J12</f>
        <v>15</v>
      </c>
      <c r="K12" s="17">
        <f>'[4]DP8 CAIHUASI S1'!K12+'[4]DP6 CAIHUASI S2'!K12</f>
        <v>15</v>
      </c>
      <c r="L12" s="17">
        <f>'[4]DP8 CAIHUASI S1'!L12+'[4]DP6 CAIHUASI S2'!L12</f>
        <v>2</v>
      </c>
      <c r="M12" s="17">
        <f>'[4]DP8 CAIHUASI S1'!M12+'[4]DP6 CAIHUASI S2'!M12</f>
        <v>0</v>
      </c>
      <c r="N12" s="17">
        <f>'[4]DP8 CAIHUASI S1'!N12+'[4]DP6 CAIHUASI S2'!N12</f>
        <v>0</v>
      </c>
      <c r="O12" s="17">
        <f t="shared" si="0"/>
        <v>108</v>
      </c>
      <c r="P12" s="18">
        <f t="shared" si="1"/>
        <v>3.3739456419868794E-2</v>
      </c>
    </row>
    <row r="13" spans="1:32" ht="17.25" customHeight="1" x14ac:dyDescent="0.25">
      <c r="A13" s="19" t="s">
        <v>28</v>
      </c>
      <c r="B13" s="17">
        <f>'[4]DP8 CAIHUASI S1'!B13+'[4]DP6 CAIHUASI S2'!B13</f>
        <v>20</v>
      </c>
      <c r="C13" s="17">
        <f>'[4]DP8 CAIHUASI S1'!C13+'[4]DP6 CAIHUASI S2'!C13</f>
        <v>0</v>
      </c>
      <c r="D13" s="17">
        <f>'[4]DP8 CAIHUASI S1'!D13+'[4]DP6 CAIHUASI S2'!D13</f>
        <v>8</v>
      </c>
      <c r="E13" s="17">
        <f>'[4]DP8 CAIHUASI S1'!E13+'[4]DP6 CAIHUASI S2'!E13</f>
        <v>0</v>
      </c>
      <c r="F13" s="17">
        <f>'[4]DP8 CAIHUASI S1'!F13+'[4]DP6 CAIHUASI S2'!F13</f>
        <v>0</v>
      </c>
      <c r="G13" s="17">
        <f>'[4]DP8 CAIHUASI S1'!G13+'[4]DP6 CAIHUASI S2'!G13</f>
        <v>72</v>
      </c>
      <c r="H13" s="17">
        <f>'[4]DP8 CAIHUASI S1'!H13+'[4]DP6 CAIHUASI S2'!H13</f>
        <v>1</v>
      </c>
      <c r="I13" s="17">
        <f>'[4]DP8 CAIHUASI S1'!I13+'[4]DP6 CAIHUASI S2'!I13</f>
        <v>13</v>
      </c>
      <c r="J13" s="17">
        <f>'[4]DP8 CAIHUASI S1'!J13+'[4]DP6 CAIHUASI S2'!J13</f>
        <v>15</v>
      </c>
      <c r="K13" s="17">
        <f>'[4]DP8 CAIHUASI S1'!K13+'[4]DP6 CAIHUASI S2'!K13</f>
        <v>9</v>
      </c>
      <c r="L13" s="17">
        <f>'[4]DP8 CAIHUASI S1'!L13+'[4]DP6 CAIHUASI S2'!L13</f>
        <v>5</v>
      </c>
      <c r="M13" s="17">
        <f>'[4]DP8 CAIHUASI S1'!M13+'[4]DP6 CAIHUASI S2'!M13</f>
        <v>0</v>
      </c>
      <c r="N13" s="17">
        <f>'[4]DP8 CAIHUASI S1'!N13+'[4]DP6 CAIHUASI S2'!N13</f>
        <v>0</v>
      </c>
      <c r="O13" s="17">
        <f t="shared" si="0"/>
        <v>143</v>
      </c>
      <c r="P13" s="18">
        <f t="shared" si="1"/>
        <v>4.4673539518900345E-2</v>
      </c>
    </row>
    <row r="14" spans="1:32" ht="17.25" customHeight="1" x14ac:dyDescent="0.25">
      <c r="A14" s="19" t="s">
        <v>29</v>
      </c>
      <c r="B14" s="17">
        <f>'[4]DP8 CAIHUASI S1'!B14+'[4]DP6 CAIHUASI S2'!B14</f>
        <v>17</v>
      </c>
      <c r="C14" s="17">
        <f>'[4]DP8 CAIHUASI S1'!C14+'[4]DP6 CAIHUASI S2'!C14</f>
        <v>1</v>
      </c>
      <c r="D14" s="17">
        <f>'[4]DP8 CAIHUASI S1'!D14+'[4]DP6 CAIHUASI S2'!D14</f>
        <v>1</v>
      </c>
      <c r="E14" s="17">
        <f>'[4]DP8 CAIHUASI S1'!E14+'[4]DP6 CAIHUASI S2'!E14</f>
        <v>0</v>
      </c>
      <c r="F14" s="17">
        <f>'[4]DP8 CAIHUASI S1'!F14+'[4]DP6 CAIHUASI S2'!F14</f>
        <v>0</v>
      </c>
      <c r="G14" s="17">
        <f>'[4]DP8 CAIHUASI S1'!G14+'[4]DP6 CAIHUASI S2'!G14</f>
        <v>17</v>
      </c>
      <c r="H14" s="17">
        <f>'[4]DP8 CAIHUASI S1'!H14+'[4]DP6 CAIHUASI S2'!H14</f>
        <v>0</v>
      </c>
      <c r="I14" s="17">
        <f>'[4]DP8 CAIHUASI S1'!I14+'[4]DP6 CAIHUASI S2'!I14</f>
        <v>1</v>
      </c>
      <c r="J14" s="17">
        <f>'[4]DP8 CAIHUASI S1'!J14+'[4]DP6 CAIHUASI S2'!J14</f>
        <v>13</v>
      </c>
      <c r="K14" s="17">
        <f>'[4]DP8 CAIHUASI S1'!K14+'[4]DP6 CAIHUASI S2'!K14</f>
        <v>12</v>
      </c>
      <c r="L14" s="17">
        <f>'[4]DP8 CAIHUASI S1'!L14+'[4]DP6 CAIHUASI S2'!L14</f>
        <v>1</v>
      </c>
      <c r="M14" s="17">
        <f>'[4]DP8 CAIHUASI S1'!M14+'[4]DP6 CAIHUASI S2'!M14</f>
        <v>0</v>
      </c>
      <c r="N14" s="17">
        <f>'[4]DP8 CAIHUASI S1'!N14+'[4]DP6 CAIHUASI S2'!N14</f>
        <v>0</v>
      </c>
      <c r="O14" s="17">
        <f t="shared" si="0"/>
        <v>63</v>
      </c>
      <c r="P14" s="18">
        <f t="shared" si="1"/>
        <v>1.9681349578256794E-2</v>
      </c>
    </row>
    <row r="15" spans="1:32" ht="17.25" customHeight="1" x14ac:dyDescent="0.25">
      <c r="A15" s="19" t="s">
        <v>30</v>
      </c>
      <c r="B15" s="17">
        <f>'[4]DP8 CAIHUASI S1'!B15+'[4]DP6 CAIHUASI S2'!B15</f>
        <v>12</v>
      </c>
      <c r="C15" s="17">
        <f>'[4]DP8 CAIHUASI S1'!C15+'[4]DP6 CAIHUASI S2'!C15</f>
        <v>1</v>
      </c>
      <c r="D15" s="17">
        <f>'[4]DP8 CAIHUASI S1'!D15+'[4]DP6 CAIHUASI S2'!D15</f>
        <v>3</v>
      </c>
      <c r="E15" s="17">
        <f>'[4]DP8 CAIHUASI S1'!E15+'[4]DP6 CAIHUASI S2'!E15</f>
        <v>0</v>
      </c>
      <c r="F15" s="17">
        <f>'[4]DP8 CAIHUASI S1'!F15+'[4]DP6 CAIHUASI S2'!F15</f>
        <v>0</v>
      </c>
      <c r="G15" s="17">
        <f>'[4]DP8 CAIHUASI S1'!G15+'[4]DP6 CAIHUASI S2'!G15</f>
        <v>16</v>
      </c>
      <c r="H15" s="17">
        <f>'[4]DP8 CAIHUASI S1'!H15+'[4]DP6 CAIHUASI S2'!H15</f>
        <v>0</v>
      </c>
      <c r="I15" s="17">
        <f>'[4]DP8 CAIHUASI S1'!I15+'[4]DP6 CAIHUASI S2'!I15</f>
        <v>2</v>
      </c>
      <c r="J15" s="17">
        <f>'[4]DP8 CAIHUASI S1'!J15+'[4]DP6 CAIHUASI S2'!J15</f>
        <v>12</v>
      </c>
      <c r="K15" s="17">
        <f>'[4]DP8 CAIHUASI S1'!K15+'[4]DP6 CAIHUASI S2'!K15</f>
        <v>14</v>
      </c>
      <c r="L15" s="17">
        <f>'[4]DP8 CAIHUASI S1'!L15+'[4]DP6 CAIHUASI S2'!L15</f>
        <v>0</v>
      </c>
      <c r="M15" s="17">
        <f>'[4]DP8 CAIHUASI S1'!M15+'[4]DP6 CAIHUASI S2'!M15</f>
        <v>0</v>
      </c>
      <c r="N15" s="17">
        <f>'[4]DP8 CAIHUASI S1'!N15+'[4]DP6 CAIHUASI S2'!N15</f>
        <v>0</v>
      </c>
      <c r="O15" s="17">
        <f t="shared" si="0"/>
        <v>60</v>
      </c>
      <c r="P15" s="18">
        <f t="shared" si="1"/>
        <v>1.874414245548266E-2</v>
      </c>
    </row>
    <row r="16" spans="1:32" ht="17.25" customHeight="1" x14ac:dyDescent="0.25">
      <c r="A16" s="19" t="s">
        <v>31</v>
      </c>
      <c r="B16" s="17">
        <f>'[4]DP8 CAIHUASI S1'!B16+'[4]DP6 CAIHUASI S2'!B16</f>
        <v>18</v>
      </c>
      <c r="C16" s="17">
        <f>'[4]DP8 CAIHUASI S1'!C16+'[4]DP6 CAIHUASI S2'!C16</f>
        <v>1</v>
      </c>
      <c r="D16" s="17">
        <f>'[4]DP8 CAIHUASI S1'!D16+'[4]DP6 CAIHUASI S2'!D16</f>
        <v>7</v>
      </c>
      <c r="E16" s="17">
        <f>'[4]DP8 CAIHUASI S1'!E16+'[4]DP6 CAIHUASI S2'!E16</f>
        <v>0</v>
      </c>
      <c r="F16" s="17">
        <f>'[4]DP8 CAIHUASI S1'!F16+'[4]DP6 CAIHUASI S2'!F16</f>
        <v>0</v>
      </c>
      <c r="G16" s="17">
        <f>'[4]DP8 CAIHUASI S1'!G16+'[4]DP6 CAIHUASI S2'!G16</f>
        <v>6</v>
      </c>
      <c r="H16" s="17">
        <f>'[4]DP8 CAIHUASI S1'!H16+'[4]DP6 CAIHUASI S2'!H16</f>
        <v>0</v>
      </c>
      <c r="I16" s="17">
        <f>'[4]DP8 CAIHUASI S1'!I16+'[4]DP6 CAIHUASI S2'!I16</f>
        <v>10</v>
      </c>
      <c r="J16" s="17">
        <f>'[4]DP8 CAIHUASI S1'!J16+'[4]DP6 CAIHUASI S2'!J16</f>
        <v>8</v>
      </c>
      <c r="K16" s="17">
        <f>'[4]DP8 CAIHUASI S1'!K16+'[4]DP6 CAIHUASI S2'!K16</f>
        <v>13</v>
      </c>
      <c r="L16" s="17">
        <f>'[4]DP8 CAIHUASI S1'!L16+'[4]DP6 CAIHUASI S2'!L16</f>
        <v>3</v>
      </c>
      <c r="M16" s="17">
        <f>'[4]DP8 CAIHUASI S1'!M16+'[4]DP6 CAIHUASI S2'!M16</f>
        <v>0</v>
      </c>
      <c r="N16" s="17">
        <f>'[4]DP8 CAIHUASI S1'!N16+'[4]DP6 CAIHUASI S2'!N16</f>
        <v>0</v>
      </c>
      <c r="O16" s="17">
        <f t="shared" si="0"/>
        <v>66</v>
      </c>
      <c r="P16" s="18">
        <f t="shared" si="1"/>
        <v>2.0618556701030927E-2</v>
      </c>
    </row>
    <row r="17" spans="1:16" ht="17.25" customHeight="1" x14ac:dyDescent="0.25">
      <c r="A17" s="19" t="s">
        <v>32</v>
      </c>
      <c r="B17" s="17">
        <f>'[4]DP8 CAIHUASI S1'!B17+'[4]DP6 CAIHUASI S2'!B17</f>
        <v>27</v>
      </c>
      <c r="C17" s="17">
        <f>'[4]DP8 CAIHUASI S1'!C17+'[4]DP6 CAIHUASI S2'!C17</f>
        <v>3</v>
      </c>
      <c r="D17" s="17">
        <f>'[4]DP8 CAIHUASI S1'!D17+'[4]DP6 CAIHUASI S2'!D17</f>
        <v>26</v>
      </c>
      <c r="E17" s="17">
        <f>'[4]DP8 CAIHUASI S1'!E17+'[4]DP6 CAIHUASI S2'!E17</f>
        <v>0</v>
      </c>
      <c r="F17" s="17">
        <f>'[4]DP8 CAIHUASI S1'!F17+'[4]DP6 CAIHUASI S2'!F17</f>
        <v>2</v>
      </c>
      <c r="G17" s="17">
        <f>'[4]DP8 CAIHUASI S1'!G17+'[4]DP6 CAIHUASI S2'!G17</f>
        <v>10</v>
      </c>
      <c r="H17" s="17">
        <f>'[4]DP8 CAIHUASI S1'!H17+'[4]DP6 CAIHUASI S2'!H17</f>
        <v>0</v>
      </c>
      <c r="I17" s="17">
        <f>'[4]DP8 CAIHUASI S1'!I17+'[4]DP6 CAIHUASI S2'!I17</f>
        <v>6</v>
      </c>
      <c r="J17" s="17">
        <f>'[4]DP8 CAIHUASI S1'!J17+'[4]DP6 CAIHUASI S2'!J17</f>
        <v>13</v>
      </c>
      <c r="K17" s="17">
        <f>'[4]DP8 CAIHUASI S1'!K17+'[4]DP6 CAIHUASI S2'!K17</f>
        <v>22</v>
      </c>
      <c r="L17" s="17">
        <f>'[4]DP8 CAIHUASI S1'!L17+'[4]DP6 CAIHUASI S2'!L17</f>
        <v>5</v>
      </c>
      <c r="M17" s="17">
        <f>'[4]DP8 CAIHUASI S1'!M17+'[4]DP6 CAIHUASI S2'!M17</f>
        <v>0</v>
      </c>
      <c r="N17" s="17">
        <f>'[4]DP8 CAIHUASI S1'!N17+'[4]DP6 CAIHUASI S2'!N17</f>
        <v>0</v>
      </c>
      <c r="O17" s="17">
        <f t="shared" si="0"/>
        <v>114</v>
      </c>
      <c r="P17" s="18">
        <f t="shared" si="1"/>
        <v>3.5613870665417061E-2</v>
      </c>
    </row>
    <row r="18" spans="1:16" ht="17.25" customHeight="1" x14ac:dyDescent="0.25">
      <c r="A18" s="19" t="s">
        <v>33</v>
      </c>
      <c r="B18" s="17">
        <f>'[4]DP8 CAIHUASI S1'!B18+'[4]DP6 CAIHUASI S2'!B18</f>
        <v>32</v>
      </c>
      <c r="C18" s="17">
        <f>'[4]DP8 CAIHUASI S1'!C18+'[4]DP6 CAIHUASI S2'!C18</f>
        <v>9</v>
      </c>
      <c r="D18" s="17">
        <f>'[4]DP8 CAIHUASI S1'!D18+'[4]DP6 CAIHUASI S2'!D18</f>
        <v>30</v>
      </c>
      <c r="E18" s="17">
        <f>'[4]DP8 CAIHUASI S1'!E18+'[4]DP6 CAIHUASI S2'!E18</f>
        <v>0</v>
      </c>
      <c r="F18" s="17">
        <f>'[4]DP8 CAIHUASI S1'!F18+'[4]DP6 CAIHUASI S2'!F18</f>
        <v>3</v>
      </c>
      <c r="G18" s="17">
        <f>'[4]DP8 CAIHUASI S1'!G18+'[4]DP6 CAIHUASI S2'!G18</f>
        <v>9</v>
      </c>
      <c r="H18" s="17">
        <f>'[4]DP8 CAIHUASI S1'!H18+'[4]DP6 CAIHUASI S2'!H18</f>
        <v>1</v>
      </c>
      <c r="I18" s="17">
        <f>'[4]DP8 CAIHUASI S1'!I18+'[4]DP6 CAIHUASI S2'!I18</f>
        <v>11</v>
      </c>
      <c r="J18" s="17">
        <f>'[4]DP8 CAIHUASI S1'!J18+'[4]DP6 CAIHUASI S2'!J18</f>
        <v>9</v>
      </c>
      <c r="K18" s="17">
        <f>'[4]DP8 CAIHUASI S1'!K18+'[4]DP6 CAIHUASI S2'!K18</f>
        <v>18</v>
      </c>
      <c r="L18" s="17">
        <f>'[4]DP8 CAIHUASI S1'!L18+'[4]DP6 CAIHUASI S2'!L18</f>
        <v>0</v>
      </c>
      <c r="M18" s="17">
        <f>'[4]DP8 CAIHUASI S1'!M18+'[4]DP6 CAIHUASI S2'!M18</f>
        <v>0</v>
      </c>
      <c r="N18" s="17">
        <f>'[4]DP8 CAIHUASI S1'!N18+'[4]DP6 CAIHUASI S2'!N18</f>
        <v>0</v>
      </c>
      <c r="O18" s="17">
        <f t="shared" si="0"/>
        <v>122</v>
      </c>
      <c r="P18" s="18">
        <f t="shared" si="1"/>
        <v>3.811308965948141E-2</v>
      </c>
    </row>
    <row r="19" spans="1:16" ht="17.25" customHeight="1" x14ac:dyDescent="0.25">
      <c r="A19" s="19" t="s">
        <v>34</v>
      </c>
      <c r="B19" s="17">
        <f>'[4]DP8 CAIHUASI S1'!B19+'[4]DP6 CAIHUASI S2'!B19</f>
        <v>31</v>
      </c>
      <c r="C19" s="17">
        <f>'[4]DP8 CAIHUASI S1'!C19+'[4]DP6 CAIHUASI S2'!C19</f>
        <v>9</v>
      </c>
      <c r="D19" s="17">
        <f>'[4]DP8 CAIHUASI S1'!D19+'[4]DP6 CAIHUASI S2'!D19</f>
        <v>23</v>
      </c>
      <c r="E19" s="17">
        <f>'[4]DP8 CAIHUASI S1'!E19+'[4]DP6 CAIHUASI S2'!E19</f>
        <v>0</v>
      </c>
      <c r="F19" s="17">
        <f>'[4]DP8 CAIHUASI S1'!F19+'[4]DP6 CAIHUASI S2'!F19</f>
        <v>3</v>
      </c>
      <c r="G19" s="17">
        <f>'[4]DP8 CAIHUASI S1'!G19+'[4]DP6 CAIHUASI S2'!G19</f>
        <v>11</v>
      </c>
      <c r="H19" s="17">
        <f>'[4]DP8 CAIHUASI S1'!H19+'[4]DP6 CAIHUASI S2'!H19</f>
        <v>2</v>
      </c>
      <c r="I19" s="17">
        <f>'[4]DP8 CAIHUASI S1'!I19+'[4]DP6 CAIHUASI S2'!I19</f>
        <v>5</v>
      </c>
      <c r="J19" s="17">
        <f>'[4]DP8 CAIHUASI S1'!J19+'[4]DP6 CAIHUASI S2'!J19</f>
        <v>6</v>
      </c>
      <c r="K19" s="17">
        <f>'[4]DP8 CAIHUASI S1'!K19+'[4]DP6 CAIHUASI S2'!K19</f>
        <v>7</v>
      </c>
      <c r="L19" s="17">
        <f>'[4]DP8 CAIHUASI S1'!L19+'[4]DP6 CAIHUASI S2'!L19</f>
        <v>2</v>
      </c>
      <c r="M19" s="17">
        <f>'[4]DP8 CAIHUASI S1'!M19+'[4]DP6 CAIHUASI S2'!M19</f>
        <v>1</v>
      </c>
      <c r="N19" s="17">
        <f>'[4]DP8 CAIHUASI S1'!N19+'[4]DP6 CAIHUASI S2'!N19</f>
        <v>0</v>
      </c>
      <c r="O19" s="17">
        <f t="shared" si="0"/>
        <v>100</v>
      </c>
      <c r="P19" s="18">
        <f t="shared" si="1"/>
        <v>3.1240237425804437E-2</v>
      </c>
    </row>
    <row r="20" spans="1:16" ht="17.25" customHeight="1" x14ac:dyDescent="0.25">
      <c r="A20" s="19" t="s">
        <v>35</v>
      </c>
      <c r="B20" s="17">
        <f>'[4]DP8 CAIHUASI S1'!B20+'[4]DP6 CAIHUASI S2'!B20</f>
        <v>55</v>
      </c>
      <c r="C20" s="17">
        <f>'[4]DP8 CAIHUASI S1'!C20+'[4]DP6 CAIHUASI S2'!C20</f>
        <v>12</v>
      </c>
      <c r="D20" s="17">
        <f>'[4]DP8 CAIHUASI S1'!D20+'[4]DP6 CAIHUASI S2'!D20</f>
        <v>38</v>
      </c>
      <c r="E20" s="17">
        <f>'[4]DP8 CAIHUASI S1'!E20+'[4]DP6 CAIHUASI S2'!E20</f>
        <v>0</v>
      </c>
      <c r="F20" s="17">
        <f>'[4]DP8 CAIHUASI S1'!F20+'[4]DP6 CAIHUASI S2'!F20</f>
        <v>2</v>
      </c>
      <c r="G20" s="17">
        <f>'[4]DP8 CAIHUASI S1'!G20+'[4]DP6 CAIHUASI S2'!G20</f>
        <v>17</v>
      </c>
      <c r="H20" s="17">
        <f>'[4]DP8 CAIHUASI S1'!H20+'[4]DP6 CAIHUASI S2'!H20</f>
        <v>2</v>
      </c>
      <c r="I20" s="17">
        <f>'[4]DP8 CAIHUASI S1'!I20+'[4]DP6 CAIHUASI S2'!I20</f>
        <v>4</v>
      </c>
      <c r="J20" s="17">
        <f>'[4]DP8 CAIHUASI S1'!J20+'[4]DP6 CAIHUASI S2'!J20</f>
        <v>10</v>
      </c>
      <c r="K20" s="17">
        <f>'[4]DP8 CAIHUASI S1'!K20+'[4]DP6 CAIHUASI S2'!K20</f>
        <v>15</v>
      </c>
      <c r="L20" s="17">
        <f>'[4]DP8 CAIHUASI S1'!L20+'[4]DP6 CAIHUASI S2'!L20</f>
        <v>2</v>
      </c>
      <c r="M20" s="17">
        <f>'[4]DP8 CAIHUASI S1'!M20+'[4]DP6 CAIHUASI S2'!M20</f>
        <v>2</v>
      </c>
      <c r="N20" s="17">
        <f>'[4]DP8 CAIHUASI S1'!N20+'[4]DP6 CAIHUASI S2'!N20</f>
        <v>0</v>
      </c>
      <c r="O20" s="17">
        <f t="shared" si="0"/>
        <v>159</v>
      </c>
      <c r="P20" s="18">
        <f t="shared" si="1"/>
        <v>4.9671977507029057E-2</v>
      </c>
    </row>
    <row r="21" spans="1:16" ht="17.25" customHeight="1" x14ac:dyDescent="0.25">
      <c r="A21" s="19" t="s">
        <v>36</v>
      </c>
      <c r="B21" s="17">
        <f>'[4]DP8 CAIHUASI S1'!B21+'[4]DP6 CAIHUASI S2'!B21</f>
        <v>32</v>
      </c>
      <c r="C21" s="17">
        <f>'[4]DP8 CAIHUASI S1'!C21+'[4]DP6 CAIHUASI S2'!C21</f>
        <v>10</v>
      </c>
      <c r="D21" s="17">
        <f>'[4]DP8 CAIHUASI S1'!D21+'[4]DP6 CAIHUASI S2'!D21</f>
        <v>34</v>
      </c>
      <c r="E21" s="17">
        <f>'[4]DP8 CAIHUASI S1'!E21+'[4]DP6 CAIHUASI S2'!E21</f>
        <v>0</v>
      </c>
      <c r="F21" s="17">
        <f>'[4]DP8 CAIHUASI S1'!F21+'[4]DP6 CAIHUASI S2'!F21</f>
        <v>1</v>
      </c>
      <c r="G21" s="17">
        <f>'[4]DP8 CAIHUASI S1'!G21+'[4]DP6 CAIHUASI S2'!G21</f>
        <v>13</v>
      </c>
      <c r="H21" s="17">
        <f>'[4]DP8 CAIHUASI S1'!H21+'[4]DP6 CAIHUASI S2'!H21</f>
        <v>2</v>
      </c>
      <c r="I21" s="17">
        <f>'[4]DP8 CAIHUASI S1'!I21+'[4]DP6 CAIHUASI S2'!I21</f>
        <v>8</v>
      </c>
      <c r="J21" s="17">
        <f>'[4]DP8 CAIHUASI S1'!J21+'[4]DP6 CAIHUASI S2'!J21</f>
        <v>5</v>
      </c>
      <c r="K21" s="17">
        <f>'[4]DP8 CAIHUASI S1'!K21+'[4]DP6 CAIHUASI S2'!K21</f>
        <v>10</v>
      </c>
      <c r="L21" s="17">
        <f>'[4]DP8 CAIHUASI S1'!L21+'[4]DP6 CAIHUASI S2'!L21</f>
        <v>4</v>
      </c>
      <c r="M21" s="17">
        <f>'[4]DP8 CAIHUASI S1'!M21+'[4]DP6 CAIHUASI S2'!M21</f>
        <v>1</v>
      </c>
      <c r="N21" s="17">
        <f>'[4]DP8 CAIHUASI S1'!N21+'[4]DP6 CAIHUASI S2'!N21</f>
        <v>0</v>
      </c>
      <c r="O21" s="17">
        <f t="shared" si="0"/>
        <v>120</v>
      </c>
      <c r="P21" s="18">
        <f t="shared" si="1"/>
        <v>3.7488284910965321E-2</v>
      </c>
    </row>
    <row r="22" spans="1:16" ht="17.25" customHeight="1" x14ac:dyDescent="0.25">
      <c r="A22" s="19" t="s">
        <v>37</v>
      </c>
      <c r="B22" s="17">
        <f>'[4]DP8 CAIHUASI S1'!B22+'[4]DP6 CAIHUASI S2'!B22</f>
        <v>36</v>
      </c>
      <c r="C22" s="17">
        <f>'[4]DP8 CAIHUASI S1'!C22+'[4]DP6 CAIHUASI S2'!C22</f>
        <v>10</v>
      </c>
      <c r="D22" s="17">
        <f>'[4]DP8 CAIHUASI S1'!D22+'[4]DP6 CAIHUASI S2'!D22</f>
        <v>30</v>
      </c>
      <c r="E22" s="17">
        <f>'[4]DP8 CAIHUASI S1'!E22+'[4]DP6 CAIHUASI S2'!E22</f>
        <v>0</v>
      </c>
      <c r="F22" s="17">
        <f>'[4]DP8 CAIHUASI S1'!F22+'[4]DP6 CAIHUASI S2'!F22</f>
        <v>5</v>
      </c>
      <c r="G22" s="17">
        <f>'[4]DP8 CAIHUASI S1'!G22+'[4]DP6 CAIHUASI S2'!G22</f>
        <v>17</v>
      </c>
      <c r="H22" s="17">
        <f>'[4]DP8 CAIHUASI S1'!H22+'[4]DP6 CAIHUASI S2'!H22</f>
        <v>2</v>
      </c>
      <c r="I22" s="17">
        <f>'[4]DP8 CAIHUASI S1'!I22+'[4]DP6 CAIHUASI S2'!I22</f>
        <v>3</v>
      </c>
      <c r="J22" s="17">
        <f>'[4]DP8 CAIHUASI S1'!J22+'[4]DP6 CAIHUASI S2'!J22</f>
        <v>6</v>
      </c>
      <c r="K22" s="17">
        <f>'[4]DP8 CAIHUASI S1'!K22+'[4]DP6 CAIHUASI S2'!K22</f>
        <v>12</v>
      </c>
      <c r="L22" s="17">
        <f>'[4]DP8 CAIHUASI S1'!L22+'[4]DP6 CAIHUASI S2'!L22</f>
        <v>1</v>
      </c>
      <c r="M22" s="17">
        <f>'[4]DP8 CAIHUASI S1'!M22+'[4]DP6 CAIHUASI S2'!M22</f>
        <v>1</v>
      </c>
      <c r="N22" s="17">
        <f>'[4]DP8 CAIHUASI S1'!N22+'[4]DP6 CAIHUASI S2'!N22</f>
        <v>0</v>
      </c>
      <c r="O22" s="17">
        <f t="shared" si="0"/>
        <v>123</v>
      </c>
      <c r="P22" s="18">
        <f t="shared" si="1"/>
        <v>3.8425492033739454E-2</v>
      </c>
    </row>
    <row r="23" spans="1:16" ht="17.25" customHeight="1" x14ac:dyDescent="0.25">
      <c r="A23" s="19" t="s">
        <v>38</v>
      </c>
      <c r="B23" s="17">
        <f>'[4]DP8 CAIHUASI S1'!B23+'[4]DP6 CAIHUASI S2'!B23</f>
        <v>57</v>
      </c>
      <c r="C23" s="17">
        <f>'[4]DP8 CAIHUASI S1'!C23+'[4]DP6 CAIHUASI S2'!C23</f>
        <v>10</v>
      </c>
      <c r="D23" s="17">
        <f>'[4]DP8 CAIHUASI S1'!D23+'[4]DP6 CAIHUASI S2'!D23</f>
        <v>34</v>
      </c>
      <c r="E23" s="17">
        <f>'[4]DP8 CAIHUASI S1'!E23+'[4]DP6 CAIHUASI S2'!E23</f>
        <v>0</v>
      </c>
      <c r="F23" s="17">
        <f>'[4]DP8 CAIHUASI S1'!F23+'[4]DP6 CAIHUASI S2'!F23</f>
        <v>7</v>
      </c>
      <c r="G23" s="17">
        <f>'[4]DP8 CAIHUASI S1'!G23+'[4]DP6 CAIHUASI S2'!G23</f>
        <v>20</v>
      </c>
      <c r="H23" s="17">
        <f>'[4]DP8 CAIHUASI S1'!H23+'[4]DP6 CAIHUASI S2'!H23</f>
        <v>2</v>
      </c>
      <c r="I23" s="17">
        <f>'[4]DP8 CAIHUASI S1'!I23+'[4]DP6 CAIHUASI S2'!I23</f>
        <v>5</v>
      </c>
      <c r="J23" s="17">
        <f>'[4]DP8 CAIHUASI S1'!J23+'[4]DP6 CAIHUASI S2'!J23</f>
        <v>5</v>
      </c>
      <c r="K23" s="17">
        <f>'[4]DP8 CAIHUASI S1'!K23+'[4]DP6 CAIHUASI S2'!K23</f>
        <v>14</v>
      </c>
      <c r="L23" s="17">
        <f>'[4]DP8 CAIHUASI S1'!L23+'[4]DP6 CAIHUASI S2'!L23</f>
        <v>3</v>
      </c>
      <c r="M23" s="17">
        <f>'[4]DP8 CAIHUASI S1'!M23+'[4]DP6 CAIHUASI S2'!M23</f>
        <v>1</v>
      </c>
      <c r="N23" s="17">
        <f>'[4]DP8 CAIHUASI S1'!N23+'[4]DP6 CAIHUASI S2'!N23</f>
        <v>0</v>
      </c>
      <c r="O23" s="17">
        <f t="shared" si="0"/>
        <v>158</v>
      </c>
      <c r="P23" s="18">
        <f t="shared" si="1"/>
        <v>4.9359575132771012E-2</v>
      </c>
    </row>
    <row r="24" spans="1:16" ht="17.25" customHeight="1" x14ac:dyDescent="0.25">
      <c r="A24" s="19" t="s">
        <v>39</v>
      </c>
      <c r="B24" s="17">
        <f>'[4]DP8 CAIHUASI S1'!B24+'[4]DP6 CAIHUASI S2'!B24</f>
        <v>51</v>
      </c>
      <c r="C24" s="17">
        <f>'[4]DP8 CAIHUASI S1'!C24+'[4]DP6 CAIHUASI S2'!C24</f>
        <v>12</v>
      </c>
      <c r="D24" s="17">
        <f>'[4]DP8 CAIHUASI S1'!D24+'[4]DP6 CAIHUASI S2'!D24</f>
        <v>32</v>
      </c>
      <c r="E24" s="17">
        <f>'[4]DP8 CAIHUASI S1'!E24+'[4]DP6 CAIHUASI S2'!E24</f>
        <v>0</v>
      </c>
      <c r="F24" s="17">
        <f>'[4]DP8 CAIHUASI S1'!F24+'[4]DP6 CAIHUASI S2'!F24</f>
        <v>3</v>
      </c>
      <c r="G24" s="17">
        <f>'[4]DP8 CAIHUASI S1'!G24+'[4]DP6 CAIHUASI S2'!G24</f>
        <v>21</v>
      </c>
      <c r="H24" s="17">
        <f>'[4]DP8 CAIHUASI S1'!H24+'[4]DP6 CAIHUASI S2'!H24</f>
        <v>0</v>
      </c>
      <c r="I24" s="17">
        <f>'[4]DP8 CAIHUASI S1'!I24+'[4]DP6 CAIHUASI S2'!I24</f>
        <v>9</v>
      </c>
      <c r="J24" s="17">
        <f>'[4]DP8 CAIHUASI S1'!J24+'[4]DP6 CAIHUASI S2'!J24</f>
        <v>9</v>
      </c>
      <c r="K24" s="17">
        <f>'[4]DP8 CAIHUASI S1'!K24+'[4]DP6 CAIHUASI S2'!K24</f>
        <v>10</v>
      </c>
      <c r="L24" s="17">
        <f>'[4]DP8 CAIHUASI S1'!L24+'[4]DP6 CAIHUASI S2'!L24</f>
        <v>2</v>
      </c>
      <c r="M24" s="17">
        <f>'[4]DP8 CAIHUASI S1'!M24+'[4]DP6 CAIHUASI S2'!M24</f>
        <v>1</v>
      </c>
      <c r="N24" s="17">
        <f>'[4]DP8 CAIHUASI S1'!N24+'[4]DP6 CAIHUASI S2'!N24</f>
        <v>0</v>
      </c>
      <c r="O24" s="17">
        <f t="shared" si="0"/>
        <v>150</v>
      </c>
      <c r="P24" s="18">
        <f t="shared" si="1"/>
        <v>4.6860356138706656E-2</v>
      </c>
    </row>
    <row r="25" spans="1:16" ht="17.25" customHeight="1" x14ac:dyDescent="0.25">
      <c r="A25" s="19" t="s">
        <v>40</v>
      </c>
      <c r="B25" s="17">
        <f>'[4]DP8 CAIHUASI S1'!B25+'[4]DP6 CAIHUASI S2'!B25</f>
        <v>64</v>
      </c>
      <c r="C25" s="17">
        <f>'[4]DP8 CAIHUASI S1'!C25+'[4]DP6 CAIHUASI S2'!C25</f>
        <v>7</v>
      </c>
      <c r="D25" s="17">
        <f>'[4]DP8 CAIHUASI S1'!D25+'[4]DP6 CAIHUASI S2'!D25</f>
        <v>30</v>
      </c>
      <c r="E25" s="17">
        <f>'[4]DP8 CAIHUASI S1'!E25+'[4]DP6 CAIHUASI S2'!E25</f>
        <v>0</v>
      </c>
      <c r="F25" s="17">
        <f>'[4]DP8 CAIHUASI S1'!F25+'[4]DP6 CAIHUASI S2'!F25</f>
        <v>7</v>
      </c>
      <c r="G25" s="17">
        <f>'[4]DP8 CAIHUASI S1'!G25+'[4]DP6 CAIHUASI S2'!G25</f>
        <v>20</v>
      </c>
      <c r="H25" s="17">
        <f>'[4]DP8 CAIHUASI S1'!H25+'[4]DP6 CAIHUASI S2'!H25</f>
        <v>1</v>
      </c>
      <c r="I25" s="17">
        <f>'[4]DP8 CAIHUASI S1'!I25+'[4]DP6 CAIHUASI S2'!I25</f>
        <v>17</v>
      </c>
      <c r="J25" s="17">
        <f>'[4]DP8 CAIHUASI S1'!J25+'[4]DP6 CAIHUASI S2'!J25</f>
        <v>12</v>
      </c>
      <c r="K25" s="17">
        <f>'[4]DP8 CAIHUASI S1'!K25+'[4]DP6 CAIHUASI S2'!K25</f>
        <v>23</v>
      </c>
      <c r="L25" s="17">
        <f>'[4]DP8 CAIHUASI S1'!L25+'[4]DP6 CAIHUASI S2'!L25</f>
        <v>4</v>
      </c>
      <c r="M25" s="17">
        <f>'[4]DP8 CAIHUASI S1'!M25+'[4]DP6 CAIHUASI S2'!M25</f>
        <v>0</v>
      </c>
      <c r="N25" s="17">
        <f>'[4]DP8 CAIHUASI S1'!N25+'[4]DP6 CAIHUASI S2'!N25</f>
        <v>0</v>
      </c>
      <c r="O25" s="17">
        <f t="shared" si="0"/>
        <v>185</v>
      </c>
      <c r="P25" s="18">
        <f t="shared" si="1"/>
        <v>5.7794439237738207E-2</v>
      </c>
    </row>
    <row r="26" spans="1:16" ht="17.25" customHeight="1" x14ac:dyDescent="0.25">
      <c r="A26" s="19" t="s">
        <v>41</v>
      </c>
      <c r="B26" s="17">
        <f>'[4]DP8 CAIHUASI S1'!B26+'[4]DP6 CAIHUASI S2'!B26</f>
        <v>27</v>
      </c>
      <c r="C26" s="17">
        <f>'[4]DP8 CAIHUASI S1'!C26+'[4]DP6 CAIHUASI S2'!C26</f>
        <v>7</v>
      </c>
      <c r="D26" s="17">
        <f>'[4]DP8 CAIHUASI S1'!D26+'[4]DP6 CAIHUASI S2'!D26</f>
        <v>19</v>
      </c>
      <c r="E26" s="17">
        <f>'[4]DP8 CAIHUASI S1'!E26+'[4]DP6 CAIHUASI S2'!E26</f>
        <v>0</v>
      </c>
      <c r="F26" s="17">
        <f>'[4]DP8 CAIHUASI S1'!F26+'[4]DP6 CAIHUASI S2'!F26</f>
        <v>4</v>
      </c>
      <c r="G26" s="17">
        <f>'[4]DP8 CAIHUASI S1'!G26+'[4]DP6 CAIHUASI S2'!G26</f>
        <v>20</v>
      </c>
      <c r="H26" s="17">
        <f>'[4]DP8 CAIHUASI S1'!H26+'[4]DP6 CAIHUASI S2'!H26</f>
        <v>1</v>
      </c>
      <c r="I26" s="17">
        <f>'[4]DP8 CAIHUASI S1'!I26+'[4]DP6 CAIHUASI S2'!I26</f>
        <v>10</v>
      </c>
      <c r="J26" s="17">
        <f>'[4]DP8 CAIHUASI S1'!J26+'[4]DP6 CAIHUASI S2'!J26</f>
        <v>9</v>
      </c>
      <c r="K26" s="17">
        <f>'[4]DP8 CAIHUASI S1'!K26+'[4]DP6 CAIHUASI S2'!K26</f>
        <v>18</v>
      </c>
      <c r="L26" s="17">
        <f>'[4]DP8 CAIHUASI S1'!L26+'[4]DP6 CAIHUASI S2'!L26</f>
        <v>0</v>
      </c>
      <c r="M26" s="17">
        <f>'[4]DP8 CAIHUASI S1'!M26+'[4]DP6 CAIHUASI S2'!M26</f>
        <v>2</v>
      </c>
      <c r="N26" s="17">
        <f>'[4]DP8 CAIHUASI S1'!N26+'[4]DP6 CAIHUASI S2'!N26</f>
        <v>0</v>
      </c>
      <c r="O26" s="17">
        <f t="shared" si="0"/>
        <v>117</v>
      </c>
      <c r="P26" s="18">
        <f t="shared" si="1"/>
        <v>3.6551077788191187E-2</v>
      </c>
    </row>
    <row r="27" spans="1:16" ht="17.25" customHeight="1" x14ac:dyDescent="0.25">
      <c r="A27" s="19" t="s">
        <v>42</v>
      </c>
      <c r="B27" s="17">
        <f>'[4]DP8 CAIHUASI S1'!B27+'[4]DP6 CAIHUASI S2'!B27</f>
        <v>44</v>
      </c>
      <c r="C27" s="17">
        <f>'[4]DP8 CAIHUASI S1'!C27+'[4]DP6 CAIHUASI S2'!C27</f>
        <v>10</v>
      </c>
      <c r="D27" s="17">
        <f>'[4]DP8 CAIHUASI S1'!D27+'[4]DP6 CAIHUASI S2'!D27</f>
        <v>24</v>
      </c>
      <c r="E27" s="17">
        <f>'[4]DP8 CAIHUASI S1'!E27+'[4]DP6 CAIHUASI S2'!E27</f>
        <v>0</v>
      </c>
      <c r="F27" s="17">
        <f>'[4]DP8 CAIHUASI S1'!F27+'[4]DP6 CAIHUASI S2'!F27</f>
        <v>0</v>
      </c>
      <c r="G27" s="17">
        <f>'[4]DP8 CAIHUASI S1'!G27+'[4]DP6 CAIHUASI S2'!G27</f>
        <v>22</v>
      </c>
      <c r="H27" s="17">
        <f>'[4]DP8 CAIHUASI S1'!H27+'[4]DP6 CAIHUASI S2'!H27</f>
        <v>4</v>
      </c>
      <c r="I27" s="17">
        <f>'[4]DP8 CAIHUASI S1'!I27+'[4]DP6 CAIHUASI S2'!I27</f>
        <v>7</v>
      </c>
      <c r="J27" s="17">
        <f>'[4]DP8 CAIHUASI S1'!J27+'[4]DP6 CAIHUASI S2'!J27</f>
        <v>38</v>
      </c>
      <c r="K27" s="17">
        <f>'[4]DP8 CAIHUASI S1'!K27+'[4]DP6 CAIHUASI S2'!K27</f>
        <v>19</v>
      </c>
      <c r="L27" s="17">
        <f>'[4]DP8 CAIHUASI S1'!L27+'[4]DP6 CAIHUASI S2'!L27</f>
        <v>7</v>
      </c>
      <c r="M27" s="17">
        <f>'[4]DP8 CAIHUASI S1'!M27+'[4]DP6 CAIHUASI S2'!M27</f>
        <v>0</v>
      </c>
      <c r="N27" s="17">
        <f>'[4]DP8 CAIHUASI S1'!N27+'[4]DP6 CAIHUASI S2'!N27</f>
        <v>0</v>
      </c>
      <c r="O27" s="17">
        <f t="shared" si="0"/>
        <v>175</v>
      </c>
      <c r="P27" s="18">
        <f t="shared" si="1"/>
        <v>5.4670415495157762E-2</v>
      </c>
    </row>
    <row r="28" spans="1:16" ht="17.25" customHeight="1" x14ac:dyDescent="0.25">
      <c r="A28" s="19" t="s">
        <v>43</v>
      </c>
      <c r="B28" s="17">
        <f>'[4]DP8 CAIHUASI S1'!B28+'[4]DP6 CAIHUASI S2'!B28</f>
        <v>32</v>
      </c>
      <c r="C28" s="17">
        <f>'[4]DP8 CAIHUASI S1'!C28+'[4]DP6 CAIHUASI S2'!C28</f>
        <v>6</v>
      </c>
      <c r="D28" s="17">
        <f>'[4]DP8 CAIHUASI S1'!D28+'[4]DP6 CAIHUASI S2'!D28</f>
        <v>33</v>
      </c>
      <c r="E28" s="17">
        <f>'[4]DP8 CAIHUASI S1'!E28+'[4]DP6 CAIHUASI S2'!E28</f>
        <v>0</v>
      </c>
      <c r="F28" s="17">
        <f>'[4]DP8 CAIHUASI S1'!F28+'[4]DP6 CAIHUASI S2'!F28</f>
        <v>3</v>
      </c>
      <c r="G28" s="17">
        <f>'[4]DP8 CAIHUASI S1'!G28+'[4]DP6 CAIHUASI S2'!G28</f>
        <v>37</v>
      </c>
      <c r="H28" s="17">
        <f>'[4]DP8 CAIHUASI S1'!H28+'[4]DP6 CAIHUASI S2'!H28</f>
        <v>8</v>
      </c>
      <c r="I28" s="17">
        <f>'[4]DP8 CAIHUASI S1'!I28+'[4]DP6 CAIHUASI S2'!I28</f>
        <v>11</v>
      </c>
      <c r="J28" s="17">
        <f>'[4]DP8 CAIHUASI S1'!J28+'[4]DP6 CAIHUASI S2'!J28</f>
        <v>16</v>
      </c>
      <c r="K28" s="17">
        <f>'[4]DP8 CAIHUASI S1'!K28+'[4]DP6 CAIHUASI S2'!K28</f>
        <v>30</v>
      </c>
      <c r="L28" s="17">
        <f>'[4]DP8 CAIHUASI S1'!L28+'[4]DP6 CAIHUASI S2'!L28</f>
        <v>7</v>
      </c>
      <c r="M28" s="17">
        <f>'[4]DP8 CAIHUASI S1'!M28+'[4]DP6 CAIHUASI S2'!M28</f>
        <v>1</v>
      </c>
      <c r="N28" s="17">
        <f>'[4]DP8 CAIHUASI S1'!N28+'[4]DP6 CAIHUASI S2'!N28</f>
        <v>0</v>
      </c>
      <c r="O28" s="17">
        <f t="shared" si="0"/>
        <v>184</v>
      </c>
      <c r="P28" s="18">
        <f t="shared" si="1"/>
        <v>5.7482036863480163E-2</v>
      </c>
    </row>
    <row r="29" spans="1:16" ht="17.25" customHeight="1" x14ac:dyDescent="0.25">
      <c r="A29" s="28" t="s">
        <v>44</v>
      </c>
      <c r="B29" s="29">
        <f>'[4]DP8 CAIHUASI S1'!B29+'[4]DP6 CAIHUASI S2'!B29</f>
        <v>44</v>
      </c>
      <c r="C29" s="29">
        <f>'[4]DP8 CAIHUASI S1'!C29+'[4]DP6 CAIHUASI S2'!C29</f>
        <v>6</v>
      </c>
      <c r="D29" s="29">
        <f>'[4]DP8 CAIHUASI S1'!D29+'[4]DP6 CAIHUASI S2'!D29</f>
        <v>52</v>
      </c>
      <c r="E29" s="29">
        <f>'[4]DP8 CAIHUASI S1'!E29+'[4]DP6 CAIHUASI S2'!E29</f>
        <v>0</v>
      </c>
      <c r="F29" s="29">
        <f>'[4]DP8 CAIHUASI S1'!F29+'[4]DP6 CAIHUASI S2'!F29</f>
        <v>1</v>
      </c>
      <c r="G29" s="29">
        <f>'[4]DP8 CAIHUASI S1'!G29+'[4]DP6 CAIHUASI S2'!G29</f>
        <v>34</v>
      </c>
      <c r="H29" s="29">
        <f>'[4]DP8 CAIHUASI S1'!H29+'[4]DP6 CAIHUASI S2'!H29</f>
        <v>4</v>
      </c>
      <c r="I29" s="29">
        <f>'[4]DP8 CAIHUASI S1'!I29+'[4]DP6 CAIHUASI S2'!I29</f>
        <v>31</v>
      </c>
      <c r="J29" s="29">
        <f>'[4]DP8 CAIHUASI S1'!J29+'[4]DP6 CAIHUASI S2'!J29</f>
        <v>33</v>
      </c>
      <c r="K29" s="29">
        <f>'[4]DP8 CAIHUASI S1'!K29+'[4]DP6 CAIHUASI S2'!K29</f>
        <v>20</v>
      </c>
      <c r="L29" s="29">
        <f>'[4]DP8 CAIHUASI S1'!L29+'[4]DP6 CAIHUASI S2'!L29</f>
        <v>6</v>
      </c>
      <c r="M29" s="29">
        <f>'[4]DP8 CAIHUASI S1'!M29+'[4]DP6 CAIHUASI S2'!M29</f>
        <v>1</v>
      </c>
      <c r="N29" s="29">
        <f>'[4]DP8 CAIHUASI S1'!N29+'[4]DP6 CAIHUASI S2'!N29</f>
        <v>0</v>
      </c>
      <c r="O29" s="29">
        <f t="shared" si="0"/>
        <v>232</v>
      </c>
      <c r="P29" s="30">
        <f t="shared" si="1"/>
        <v>7.2477350827866285E-2</v>
      </c>
    </row>
    <row r="30" spans="1:16" ht="17.25" customHeight="1" x14ac:dyDescent="0.25">
      <c r="A30" s="19" t="s">
        <v>45</v>
      </c>
      <c r="B30" s="17">
        <f>'[4]DP8 CAIHUASI S1'!B30+'[4]DP6 CAIHUASI S2'!B30</f>
        <v>41</v>
      </c>
      <c r="C30" s="17">
        <f>'[4]DP8 CAIHUASI S1'!C30+'[4]DP6 CAIHUASI S2'!C30</f>
        <v>7</v>
      </c>
      <c r="D30" s="17">
        <f>'[4]DP8 CAIHUASI S1'!D30+'[4]DP6 CAIHUASI S2'!D30</f>
        <v>24</v>
      </c>
      <c r="E30" s="17">
        <f>'[4]DP8 CAIHUASI S1'!E30+'[4]DP6 CAIHUASI S2'!E30</f>
        <v>0</v>
      </c>
      <c r="F30" s="17">
        <f>'[4]DP8 CAIHUASI S1'!F30+'[4]DP6 CAIHUASI S2'!F30</f>
        <v>2</v>
      </c>
      <c r="G30" s="17">
        <f>'[4]DP8 CAIHUASI S1'!G30+'[4]DP6 CAIHUASI S2'!G30</f>
        <v>17</v>
      </c>
      <c r="H30" s="17">
        <f>'[4]DP8 CAIHUASI S1'!H30+'[4]DP6 CAIHUASI S2'!H30</f>
        <v>1</v>
      </c>
      <c r="I30" s="17">
        <f>'[4]DP8 CAIHUASI S1'!I30+'[4]DP6 CAIHUASI S2'!I30</f>
        <v>6</v>
      </c>
      <c r="J30" s="17">
        <f>'[4]DP8 CAIHUASI S1'!J30+'[4]DP6 CAIHUASI S2'!J30</f>
        <v>26</v>
      </c>
      <c r="K30" s="17">
        <f>'[4]DP8 CAIHUASI S1'!K30+'[4]DP6 CAIHUASI S2'!K30</f>
        <v>27</v>
      </c>
      <c r="L30" s="17">
        <f>'[4]DP8 CAIHUASI S1'!L30+'[4]DP6 CAIHUASI S2'!L30</f>
        <v>12</v>
      </c>
      <c r="M30" s="17">
        <f>'[4]DP8 CAIHUASI S1'!M30+'[4]DP6 CAIHUASI S2'!M30</f>
        <v>1</v>
      </c>
      <c r="N30" s="17">
        <f>'[4]DP8 CAIHUASI S1'!N30+'[4]DP6 CAIHUASI S2'!N30</f>
        <v>0</v>
      </c>
      <c r="O30" s="17">
        <f t="shared" si="0"/>
        <v>164</v>
      </c>
      <c r="P30" s="18">
        <f t="shared" si="1"/>
        <v>5.1233989378319272E-2</v>
      </c>
    </row>
    <row r="31" spans="1:16" ht="17.25" customHeight="1" x14ac:dyDescent="0.25">
      <c r="A31" s="19" t="s">
        <v>46</v>
      </c>
      <c r="B31" s="17">
        <f>'[4]DP8 CAIHUASI S1'!B31+'[4]DP6 CAIHUASI S2'!B31</f>
        <v>33</v>
      </c>
      <c r="C31" s="17">
        <f>'[4]DP8 CAIHUASI S1'!C31+'[4]DP6 CAIHUASI S2'!C31</f>
        <v>5</v>
      </c>
      <c r="D31" s="17">
        <f>'[4]DP8 CAIHUASI S1'!D31+'[4]DP6 CAIHUASI S2'!D31</f>
        <v>15</v>
      </c>
      <c r="E31" s="17">
        <f>'[4]DP8 CAIHUASI S1'!E31+'[4]DP6 CAIHUASI S2'!E31</f>
        <v>1</v>
      </c>
      <c r="F31" s="17">
        <f>'[4]DP8 CAIHUASI S1'!F31+'[4]DP6 CAIHUASI S2'!F31</f>
        <v>0</v>
      </c>
      <c r="G31" s="17">
        <f>'[4]DP8 CAIHUASI S1'!G31+'[4]DP6 CAIHUASI S2'!G31</f>
        <v>8</v>
      </c>
      <c r="H31" s="17">
        <f>'[4]DP8 CAIHUASI S1'!H31+'[4]DP6 CAIHUASI S2'!H31</f>
        <v>1</v>
      </c>
      <c r="I31" s="17">
        <f>'[4]DP8 CAIHUASI S1'!I31+'[4]DP6 CAIHUASI S2'!I31</f>
        <v>11</v>
      </c>
      <c r="J31" s="17">
        <f>'[4]DP8 CAIHUASI S1'!J31+'[4]DP6 CAIHUASI S2'!J31</f>
        <v>21</v>
      </c>
      <c r="K31" s="17">
        <f>'[4]DP8 CAIHUASI S1'!K31+'[4]DP6 CAIHUASI S2'!K31</f>
        <v>13</v>
      </c>
      <c r="L31" s="17">
        <f>'[4]DP8 CAIHUASI S1'!L31+'[4]DP6 CAIHUASI S2'!L31</f>
        <v>9</v>
      </c>
      <c r="M31" s="17">
        <f>'[4]DP8 CAIHUASI S1'!M31+'[4]DP6 CAIHUASI S2'!M31</f>
        <v>0</v>
      </c>
      <c r="N31" s="17">
        <f>'[4]DP8 CAIHUASI S1'!N31+'[4]DP6 CAIHUASI S2'!N31</f>
        <v>0</v>
      </c>
      <c r="O31" s="17">
        <f t="shared" si="0"/>
        <v>117</v>
      </c>
      <c r="P31" s="18">
        <f t="shared" si="1"/>
        <v>3.6551077788191187E-2</v>
      </c>
    </row>
    <row r="32" spans="1:16" ht="17.25" customHeight="1" x14ac:dyDescent="0.25">
      <c r="A32" s="19" t="s">
        <v>47</v>
      </c>
      <c r="B32" s="17">
        <f>'[4]DP8 CAIHUASI S1'!B32+'[4]DP6 CAIHUASI S2'!B32</f>
        <v>30</v>
      </c>
      <c r="C32" s="17">
        <f>'[4]DP8 CAIHUASI S1'!C32+'[4]DP6 CAIHUASI S2'!C32</f>
        <v>1</v>
      </c>
      <c r="D32" s="17">
        <f>'[4]DP8 CAIHUASI S1'!D32+'[4]DP6 CAIHUASI S2'!D32</f>
        <v>6</v>
      </c>
      <c r="E32" s="17">
        <f>'[4]DP8 CAIHUASI S1'!E32+'[4]DP6 CAIHUASI S2'!E32</f>
        <v>0</v>
      </c>
      <c r="F32" s="17">
        <f>'[4]DP8 CAIHUASI S1'!F32+'[4]DP6 CAIHUASI S2'!F32</f>
        <v>0</v>
      </c>
      <c r="G32" s="17">
        <f>'[4]DP8 CAIHUASI S1'!G32+'[4]DP6 CAIHUASI S2'!G32</f>
        <v>19</v>
      </c>
      <c r="H32" s="17">
        <f>'[4]DP8 CAIHUASI S1'!H32+'[4]DP6 CAIHUASI S2'!H32</f>
        <v>1</v>
      </c>
      <c r="I32" s="17">
        <f>'[4]DP8 CAIHUASI S1'!I32+'[4]DP6 CAIHUASI S2'!I32</f>
        <v>19</v>
      </c>
      <c r="J32" s="17">
        <f>'[4]DP8 CAIHUASI S1'!J32+'[4]DP6 CAIHUASI S2'!J32</f>
        <v>16</v>
      </c>
      <c r="K32" s="17">
        <f>'[4]DP8 CAIHUASI S1'!K32+'[4]DP6 CAIHUASI S2'!K32</f>
        <v>27</v>
      </c>
      <c r="L32" s="17">
        <f>'[4]DP8 CAIHUASI S1'!L32+'[4]DP6 CAIHUASI S2'!L32</f>
        <v>5</v>
      </c>
      <c r="M32" s="17">
        <f>'[4]DP8 CAIHUASI S1'!M32+'[4]DP6 CAIHUASI S2'!M32</f>
        <v>0</v>
      </c>
      <c r="N32" s="17">
        <f>'[4]DP8 CAIHUASI S1'!N32+'[4]DP6 CAIHUASI S2'!N32</f>
        <v>0</v>
      </c>
      <c r="O32" s="17">
        <f t="shared" si="0"/>
        <v>124</v>
      </c>
      <c r="P32" s="18">
        <f t="shared" si="1"/>
        <v>3.8737894407997499E-2</v>
      </c>
    </row>
    <row r="33" spans="1:16" ht="17.25" customHeight="1" x14ac:dyDescent="0.25">
      <c r="A33" s="19" t="s">
        <v>48</v>
      </c>
      <c r="B33" s="17">
        <f>'[4]DP8 CAIHUASI S1'!B33+'[4]DP6 CAIHUASI S2'!B33</f>
        <v>19</v>
      </c>
      <c r="C33" s="17">
        <f>'[4]DP8 CAIHUASI S1'!C33+'[4]DP6 CAIHUASI S2'!C33</f>
        <v>5</v>
      </c>
      <c r="D33" s="17">
        <f>'[4]DP8 CAIHUASI S1'!D33+'[4]DP6 CAIHUASI S2'!D33</f>
        <v>9</v>
      </c>
      <c r="E33" s="17">
        <f>'[4]DP8 CAIHUASI S1'!E33+'[4]DP6 CAIHUASI S2'!E33</f>
        <v>0</v>
      </c>
      <c r="F33" s="17">
        <f>'[4]DP8 CAIHUASI S1'!F33+'[4]DP6 CAIHUASI S2'!F33</f>
        <v>1</v>
      </c>
      <c r="G33" s="17">
        <f>'[4]DP8 CAIHUASI S1'!G33+'[4]DP6 CAIHUASI S2'!G33</f>
        <v>21</v>
      </c>
      <c r="H33" s="17">
        <f>'[4]DP8 CAIHUASI S1'!H33+'[4]DP6 CAIHUASI S2'!H33</f>
        <v>1</v>
      </c>
      <c r="I33" s="17">
        <f>'[4]DP8 CAIHUASI S1'!I33+'[4]DP6 CAIHUASI S2'!I33</f>
        <v>16</v>
      </c>
      <c r="J33" s="17">
        <f>'[4]DP8 CAIHUASI S1'!J33+'[4]DP6 CAIHUASI S2'!J33</f>
        <v>26</v>
      </c>
      <c r="K33" s="17">
        <f>'[4]DP8 CAIHUASI S1'!K33+'[4]DP6 CAIHUASI S2'!K33</f>
        <v>29</v>
      </c>
      <c r="L33" s="17">
        <f>'[4]DP8 CAIHUASI S1'!L33+'[4]DP6 CAIHUASI S2'!L33</f>
        <v>5</v>
      </c>
      <c r="M33" s="17">
        <f>'[4]DP8 CAIHUASI S1'!M33+'[4]DP6 CAIHUASI S2'!M33</f>
        <v>0</v>
      </c>
      <c r="N33" s="17">
        <f>'[4]DP8 CAIHUASI S1'!N33+'[4]DP6 CAIHUASI S2'!N33</f>
        <v>0</v>
      </c>
      <c r="O33" s="17">
        <f t="shared" si="0"/>
        <v>132</v>
      </c>
      <c r="P33" s="18">
        <f t="shared" si="1"/>
        <v>4.1237113402061855E-2</v>
      </c>
    </row>
    <row r="34" spans="1:16" ht="17.25" customHeight="1" thickBot="1" x14ac:dyDescent="0.3">
      <c r="A34" s="20" t="s">
        <v>49</v>
      </c>
      <c r="B34" s="17">
        <f>'[4]DP8 CAIHUASI S1'!B34+'[4]DP6 CAIHUASI S2'!B34</f>
        <v>31</v>
      </c>
      <c r="C34" s="17">
        <f>'[4]DP8 CAIHUASI S1'!C34+'[4]DP6 CAIHUASI S2'!C34</f>
        <v>4</v>
      </c>
      <c r="D34" s="17">
        <f>'[4]DP8 CAIHUASI S1'!D34+'[4]DP6 CAIHUASI S2'!D34</f>
        <v>11</v>
      </c>
      <c r="E34" s="17">
        <f>'[4]DP8 CAIHUASI S1'!E34+'[4]DP6 CAIHUASI S2'!E34</f>
        <v>1</v>
      </c>
      <c r="F34" s="17">
        <f>'[4]DP8 CAIHUASI S1'!F34+'[4]DP6 CAIHUASI S2'!F34</f>
        <v>11</v>
      </c>
      <c r="G34" s="17">
        <f>'[4]DP8 CAIHUASI S1'!G34+'[4]DP6 CAIHUASI S2'!G34</f>
        <v>35</v>
      </c>
      <c r="H34" s="17">
        <f>'[4]DP8 CAIHUASI S1'!H34+'[4]DP6 CAIHUASI S2'!H34</f>
        <v>1</v>
      </c>
      <c r="I34" s="17">
        <f>'[4]DP8 CAIHUASI S1'!I34+'[4]DP6 CAIHUASI S2'!I34</f>
        <v>15</v>
      </c>
      <c r="J34" s="17">
        <f>'[4]DP8 CAIHUASI S1'!J34+'[4]DP6 CAIHUASI S2'!J34</f>
        <v>21</v>
      </c>
      <c r="K34" s="17">
        <f>'[4]DP8 CAIHUASI S1'!K34+'[4]DP6 CAIHUASI S2'!K34</f>
        <v>42</v>
      </c>
      <c r="L34" s="17">
        <f>'[4]DP8 CAIHUASI S1'!L34+'[4]DP6 CAIHUASI S2'!L34</f>
        <v>4</v>
      </c>
      <c r="M34" s="17">
        <f>'[4]DP8 CAIHUASI S1'!M34+'[4]DP6 CAIHUASI S2'!M34</f>
        <v>0</v>
      </c>
      <c r="N34" s="17">
        <f>'[4]DP8 CAIHUASI S1'!N34+'[4]DP6 CAIHUASI S2'!N34</f>
        <v>0</v>
      </c>
      <c r="O34" s="17">
        <f t="shared" si="0"/>
        <v>176</v>
      </c>
      <c r="P34" s="18">
        <f t="shared" si="1"/>
        <v>5.4982817869415807E-2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779</v>
      </c>
      <c r="C35" s="22">
        <f t="shared" si="2"/>
        <v>140</v>
      </c>
      <c r="D35" s="22">
        <f t="shared" si="2"/>
        <v>499</v>
      </c>
      <c r="E35" s="22">
        <f t="shared" si="2"/>
        <v>2</v>
      </c>
      <c r="F35" s="22">
        <f t="shared" si="2"/>
        <v>67</v>
      </c>
      <c r="G35" s="22">
        <f t="shared" si="2"/>
        <v>527</v>
      </c>
      <c r="H35" s="22">
        <f t="shared" si="2"/>
        <v>37</v>
      </c>
      <c r="I35" s="22">
        <f t="shared" si="2"/>
        <v>241</v>
      </c>
      <c r="J35" s="22">
        <f t="shared" si="2"/>
        <v>370</v>
      </c>
      <c r="K35" s="22">
        <f t="shared" si="2"/>
        <v>433</v>
      </c>
      <c r="L35" s="22">
        <f t="shared" si="2"/>
        <v>94</v>
      </c>
      <c r="M35" s="22">
        <f t="shared" si="2"/>
        <v>12</v>
      </c>
      <c r="N35" s="22">
        <f t="shared" si="2"/>
        <v>0</v>
      </c>
      <c r="O35" s="22">
        <f t="shared" si="2"/>
        <v>3201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0.24336144954701655</v>
      </c>
      <c r="C36" s="25">
        <f t="shared" si="3"/>
        <v>4.3736332396126211E-2</v>
      </c>
      <c r="D36" s="25">
        <f t="shared" si="3"/>
        <v>0.15588878475476414</v>
      </c>
      <c r="E36" s="25">
        <f t="shared" si="3"/>
        <v>6.248047485160887E-4</v>
      </c>
      <c r="F36" s="25">
        <f t="shared" si="3"/>
        <v>2.0930959075288972E-2</v>
      </c>
      <c r="G36" s="25">
        <f t="shared" si="3"/>
        <v>0.16463605123398939</v>
      </c>
      <c r="H36" s="25">
        <f t="shared" si="3"/>
        <v>1.1558887847547642E-2</v>
      </c>
      <c r="I36" s="25">
        <f t="shared" si="3"/>
        <v>7.5288972196188686E-2</v>
      </c>
      <c r="J36" s="25">
        <f t="shared" si="3"/>
        <v>0.11558887847547641</v>
      </c>
      <c r="K36" s="25">
        <f t="shared" si="3"/>
        <v>0.1352702280537332</v>
      </c>
      <c r="L36" s="25">
        <f t="shared" si="3"/>
        <v>2.936582318025617E-2</v>
      </c>
      <c r="M36" s="25">
        <f t="shared" si="3"/>
        <v>3.7488284910965324E-3</v>
      </c>
      <c r="N36" s="25">
        <f t="shared" si="3"/>
        <v>0</v>
      </c>
      <c r="O36" s="25">
        <f>SUM(B36:N36)</f>
        <v>0.99999999999999989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63" t="s">
        <v>54</v>
      </c>
      <c r="T3" s="63"/>
      <c r="U3" s="63"/>
      <c r="V3" s="63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'[5]DP8 CAIHUASI S1'!B11+'[5]DP6 CAIHUASI S2'!B11</f>
        <v>13</v>
      </c>
      <c r="C11" s="17">
        <f>'[5]DP8 CAIHUASI S1'!C11+'[5]DP6 CAIHUASI S2'!C11</f>
        <v>4</v>
      </c>
      <c r="D11" s="17">
        <f>'[5]DP8 CAIHUASI S1'!D11+'[5]DP6 CAIHUASI S2'!D11</f>
        <v>2</v>
      </c>
      <c r="E11" s="17">
        <f>'[5]DP8 CAIHUASI S1'!E11+'[5]DP6 CAIHUASI S2'!E11</f>
        <v>0</v>
      </c>
      <c r="F11" s="17">
        <f>'[5]DP8 CAIHUASI S1'!F11+'[5]DP6 CAIHUASI S2'!F11</f>
        <v>4</v>
      </c>
      <c r="G11" s="17">
        <f>'[5]DP8 CAIHUASI S1'!G11+'[5]DP6 CAIHUASI S2'!G11</f>
        <v>62</v>
      </c>
      <c r="H11" s="17">
        <f>'[5]DP8 CAIHUASI S1'!H11+'[5]DP6 CAIHUASI S2'!H11</f>
        <v>3</v>
      </c>
      <c r="I11" s="17">
        <f>'[5]DP8 CAIHUASI S1'!I11+'[5]DP6 CAIHUASI S2'!I11</f>
        <v>15</v>
      </c>
      <c r="J11" s="17">
        <f>'[5]DP8 CAIHUASI S1'!J11+'[5]DP6 CAIHUASI S2'!J11</f>
        <v>10</v>
      </c>
      <c r="K11" s="17">
        <f>'[5]DP8 CAIHUASI S1'!K11+'[5]DP6 CAIHUASI S2'!K11</f>
        <v>19</v>
      </c>
      <c r="L11" s="17">
        <f>'[5]DP8 CAIHUASI S1'!L11+'[5]DP6 CAIHUASI S2'!L11</f>
        <v>9</v>
      </c>
      <c r="M11" s="17">
        <f>'[5]DP8 CAIHUASI S1'!M11+'[5]DP6 CAIHUASI S2'!M11</f>
        <v>0</v>
      </c>
      <c r="N11" s="17">
        <f>'[5]DP8 CAIHUASI S1'!N11+'[5]DP6 CAIHUASI S2'!N11</f>
        <v>0</v>
      </c>
      <c r="O11" s="17">
        <f t="shared" ref="O11:O34" si="0">SUM(B11:N11)</f>
        <v>141</v>
      </c>
      <c r="P11" s="18">
        <f t="shared" ref="P11:P34" si="1">O11/$O$35</f>
        <v>3.7630104083266613E-2</v>
      </c>
    </row>
    <row r="12" spans="1:32" ht="17.25" customHeight="1" x14ac:dyDescent="0.25">
      <c r="A12" s="19" t="s">
        <v>27</v>
      </c>
      <c r="B12" s="17">
        <f>'[5]DP8 CAIHUASI S1'!B12+'[5]DP6 CAIHUASI S2'!B12</f>
        <v>11</v>
      </c>
      <c r="C12" s="17">
        <f>'[5]DP8 CAIHUASI S1'!C12+'[5]DP6 CAIHUASI S2'!C12</f>
        <v>3</v>
      </c>
      <c r="D12" s="17">
        <f>'[5]DP8 CAIHUASI S1'!D12+'[5]DP6 CAIHUASI S2'!D12</f>
        <v>12</v>
      </c>
      <c r="E12" s="17">
        <f>'[5]DP8 CAIHUASI S1'!E12+'[5]DP6 CAIHUASI S2'!E12</f>
        <v>0</v>
      </c>
      <c r="F12" s="17">
        <f>'[5]DP8 CAIHUASI S1'!F12+'[5]DP6 CAIHUASI S2'!F12</f>
        <v>4</v>
      </c>
      <c r="G12" s="17">
        <f>'[5]DP8 CAIHUASI S1'!G12+'[5]DP6 CAIHUASI S2'!G12</f>
        <v>48</v>
      </c>
      <c r="H12" s="17">
        <f>'[5]DP8 CAIHUASI S1'!H12+'[5]DP6 CAIHUASI S2'!H12</f>
        <v>6</v>
      </c>
      <c r="I12" s="17">
        <f>'[5]DP8 CAIHUASI S1'!I12+'[5]DP6 CAIHUASI S2'!I12</f>
        <v>14</v>
      </c>
      <c r="J12" s="17">
        <f>'[5]DP8 CAIHUASI S1'!J12+'[5]DP6 CAIHUASI S2'!J12</f>
        <v>20</v>
      </c>
      <c r="K12" s="17">
        <f>'[5]DP8 CAIHUASI S1'!K12+'[5]DP6 CAIHUASI S2'!K12</f>
        <v>39</v>
      </c>
      <c r="L12" s="17">
        <f>'[5]DP8 CAIHUASI S1'!L12+'[5]DP6 CAIHUASI S2'!L12</f>
        <v>6</v>
      </c>
      <c r="M12" s="17">
        <f>'[5]DP8 CAIHUASI S1'!M12+'[5]DP6 CAIHUASI S2'!M12</f>
        <v>0</v>
      </c>
      <c r="N12" s="17">
        <f>'[5]DP8 CAIHUASI S1'!N12+'[5]DP6 CAIHUASI S2'!N12</f>
        <v>0</v>
      </c>
      <c r="O12" s="17">
        <f t="shared" si="0"/>
        <v>163</v>
      </c>
      <c r="P12" s="18">
        <f t="shared" si="1"/>
        <v>4.3501467840939417E-2</v>
      </c>
    </row>
    <row r="13" spans="1:32" ht="17.25" customHeight="1" x14ac:dyDescent="0.25">
      <c r="A13" s="19" t="s">
        <v>28</v>
      </c>
      <c r="B13" s="17">
        <f>'[5]DP8 CAIHUASI S1'!B13+'[5]DP6 CAIHUASI S2'!B13</f>
        <v>14</v>
      </c>
      <c r="C13" s="17">
        <f>'[5]DP8 CAIHUASI S1'!C13+'[5]DP6 CAIHUASI S2'!C13</f>
        <v>2</v>
      </c>
      <c r="D13" s="17">
        <f>'[5]DP8 CAIHUASI S1'!D13+'[5]DP6 CAIHUASI S2'!D13</f>
        <v>5</v>
      </c>
      <c r="E13" s="17">
        <f>'[5]DP8 CAIHUASI S1'!E13+'[5]DP6 CAIHUASI S2'!E13</f>
        <v>0</v>
      </c>
      <c r="F13" s="17">
        <f>'[5]DP8 CAIHUASI S1'!F13+'[5]DP6 CAIHUASI S2'!F13</f>
        <v>3</v>
      </c>
      <c r="G13" s="17">
        <f>'[5]DP8 CAIHUASI S1'!G13+'[5]DP6 CAIHUASI S2'!G13</f>
        <v>40</v>
      </c>
      <c r="H13" s="17">
        <f>'[5]DP8 CAIHUASI S1'!H13+'[5]DP6 CAIHUASI S2'!H13</f>
        <v>3</v>
      </c>
      <c r="I13" s="17">
        <f>'[5]DP8 CAIHUASI S1'!I13+'[5]DP6 CAIHUASI S2'!I13</f>
        <v>7</v>
      </c>
      <c r="J13" s="17">
        <f>'[5]DP8 CAIHUASI S1'!J13+'[5]DP6 CAIHUASI S2'!J13</f>
        <v>11</v>
      </c>
      <c r="K13" s="17">
        <f>'[5]DP8 CAIHUASI S1'!K13+'[5]DP6 CAIHUASI S2'!K13</f>
        <v>9</v>
      </c>
      <c r="L13" s="17">
        <f>'[5]DP8 CAIHUASI S1'!L13+'[5]DP6 CAIHUASI S2'!L13</f>
        <v>2</v>
      </c>
      <c r="M13" s="17">
        <f>'[5]DP8 CAIHUASI S1'!M13+'[5]DP6 CAIHUASI S2'!M13</f>
        <v>0</v>
      </c>
      <c r="N13" s="17">
        <f>'[5]DP8 CAIHUASI S1'!N13+'[5]DP6 CAIHUASI S2'!N13</f>
        <v>0</v>
      </c>
      <c r="O13" s="17">
        <f t="shared" si="0"/>
        <v>96</v>
      </c>
      <c r="P13" s="18">
        <f t="shared" si="1"/>
        <v>2.5620496397117692E-2</v>
      </c>
    </row>
    <row r="14" spans="1:32" ht="17.25" customHeight="1" x14ac:dyDescent="0.25">
      <c r="A14" s="19" t="s">
        <v>29</v>
      </c>
      <c r="B14" s="17">
        <f>'[5]DP8 CAIHUASI S1'!B14+'[5]DP6 CAIHUASI S2'!B14</f>
        <v>25</v>
      </c>
      <c r="C14" s="17">
        <f>'[5]DP8 CAIHUASI S1'!C14+'[5]DP6 CAIHUASI S2'!C14</f>
        <v>5</v>
      </c>
      <c r="D14" s="17">
        <f>'[5]DP8 CAIHUASI S1'!D14+'[5]DP6 CAIHUASI S2'!D14</f>
        <v>8</v>
      </c>
      <c r="E14" s="17">
        <f>'[5]DP8 CAIHUASI S1'!E14+'[5]DP6 CAIHUASI S2'!E14</f>
        <v>0</v>
      </c>
      <c r="F14" s="17">
        <f>'[5]DP8 CAIHUASI S1'!F14+'[5]DP6 CAIHUASI S2'!F14</f>
        <v>1</v>
      </c>
      <c r="G14" s="17">
        <f>'[5]DP8 CAIHUASI S1'!G14+'[5]DP6 CAIHUASI S2'!G14</f>
        <v>50</v>
      </c>
      <c r="H14" s="17">
        <f>'[5]DP8 CAIHUASI S1'!H14+'[5]DP6 CAIHUASI S2'!H14</f>
        <v>0</v>
      </c>
      <c r="I14" s="17">
        <f>'[5]DP8 CAIHUASI S1'!I14+'[5]DP6 CAIHUASI S2'!I14</f>
        <v>11</v>
      </c>
      <c r="J14" s="17">
        <f>'[5]DP8 CAIHUASI S1'!J14+'[5]DP6 CAIHUASI S2'!J14</f>
        <v>21</v>
      </c>
      <c r="K14" s="17">
        <f>'[5]DP8 CAIHUASI S1'!K14+'[5]DP6 CAIHUASI S2'!K14</f>
        <v>7</v>
      </c>
      <c r="L14" s="17">
        <f>'[5]DP8 CAIHUASI S1'!L14+'[5]DP6 CAIHUASI S2'!L14</f>
        <v>5</v>
      </c>
      <c r="M14" s="17">
        <f>'[5]DP8 CAIHUASI S1'!M14+'[5]DP6 CAIHUASI S2'!M14</f>
        <v>0</v>
      </c>
      <c r="N14" s="17">
        <f>'[5]DP8 CAIHUASI S1'!N14+'[5]DP6 CAIHUASI S2'!N14</f>
        <v>0</v>
      </c>
      <c r="O14" s="17">
        <f t="shared" si="0"/>
        <v>133</v>
      </c>
      <c r="P14" s="18">
        <f t="shared" si="1"/>
        <v>3.5495062716840137E-2</v>
      </c>
    </row>
    <row r="15" spans="1:32" ht="17.25" customHeight="1" x14ac:dyDescent="0.25">
      <c r="A15" s="19" t="s">
        <v>30</v>
      </c>
      <c r="B15" s="17">
        <f>'[5]DP8 CAIHUASI S1'!B15+'[5]DP6 CAIHUASI S2'!B15</f>
        <v>7</v>
      </c>
      <c r="C15" s="17">
        <f>'[5]DP8 CAIHUASI S1'!C15+'[5]DP6 CAIHUASI S2'!C15</f>
        <v>2</v>
      </c>
      <c r="D15" s="17">
        <f>'[5]DP8 CAIHUASI S1'!D15+'[5]DP6 CAIHUASI S2'!D15</f>
        <v>2</v>
      </c>
      <c r="E15" s="17">
        <f>'[5]DP8 CAIHUASI S1'!E15+'[5]DP6 CAIHUASI S2'!E15</f>
        <v>0</v>
      </c>
      <c r="F15" s="17">
        <f>'[5]DP8 CAIHUASI S1'!F15+'[5]DP6 CAIHUASI S2'!F15</f>
        <v>0</v>
      </c>
      <c r="G15" s="17">
        <f>'[5]DP8 CAIHUASI S1'!G15+'[5]DP6 CAIHUASI S2'!G15</f>
        <v>15</v>
      </c>
      <c r="H15" s="17">
        <f>'[5]DP8 CAIHUASI S1'!H15+'[5]DP6 CAIHUASI S2'!H15</f>
        <v>2</v>
      </c>
      <c r="I15" s="17">
        <f>'[5]DP8 CAIHUASI S1'!I15+'[5]DP6 CAIHUASI S2'!I15</f>
        <v>8</v>
      </c>
      <c r="J15" s="17">
        <f>'[5]DP8 CAIHUASI S1'!J15+'[5]DP6 CAIHUASI S2'!J15</f>
        <v>19</v>
      </c>
      <c r="K15" s="17">
        <f>'[5]DP8 CAIHUASI S1'!K15+'[5]DP6 CAIHUASI S2'!K15</f>
        <v>6</v>
      </c>
      <c r="L15" s="17">
        <f>'[5]DP8 CAIHUASI S1'!L15+'[5]DP6 CAIHUASI S2'!L15</f>
        <v>5</v>
      </c>
      <c r="M15" s="17">
        <f>'[5]DP8 CAIHUASI S1'!M15+'[5]DP6 CAIHUASI S2'!M15</f>
        <v>0</v>
      </c>
      <c r="N15" s="17">
        <f>'[5]DP8 CAIHUASI S1'!N15+'[5]DP6 CAIHUASI S2'!N15</f>
        <v>0</v>
      </c>
      <c r="O15" s="17">
        <f t="shared" si="0"/>
        <v>66</v>
      </c>
      <c r="P15" s="18">
        <f t="shared" si="1"/>
        <v>1.7614091273018415E-2</v>
      </c>
    </row>
    <row r="16" spans="1:32" ht="17.25" customHeight="1" x14ac:dyDescent="0.25">
      <c r="A16" s="19" t="s">
        <v>31</v>
      </c>
      <c r="B16" s="17">
        <f>'[5]DP8 CAIHUASI S1'!B16+'[5]DP6 CAIHUASI S2'!B16</f>
        <v>19</v>
      </c>
      <c r="C16" s="17">
        <f>'[5]DP8 CAIHUASI S1'!C16+'[5]DP6 CAIHUASI S2'!C16</f>
        <v>3</v>
      </c>
      <c r="D16" s="17">
        <f>'[5]DP8 CAIHUASI S1'!D16+'[5]DP6 CAIHUASI S2'!D16</f>
        <v>11</v>
      </c>
      <c r="E16" s="17">
        <f>'[5]DP8 CAIHUASI S1'!E16+'[5]DP6 CAIHUASI S2'!E16</f>
        <v>0</v>
      </c>
      <c r="F16" s="17">
        <f>'[5]DP8 CAIHUASI S1'!F16+'[5]DP6 CAIHUASI S2'!F16</f>
        <v>3</v>
      </c>
      <c r="G16" s="17">
        <f>'[5]DP8 CAIHUASI S1'!G16+'[5]DP6 CAIHUASI S2'!G16</f>
        <v>23</v>
      </c>
      <c r="H16" s="17">
        <f>'[5]DP8 CAIHUASI S1'!H16+'[5]DP6 CAIHUASI S2'!H16</f>
        <v>2</v>
      </c>
      <c r="I16" s="17">
        <f>'[5]DP8 CAIHUASI S1'!I16+'[5]DP6 CAIHUASI S2'!I16</f>
        <v>6</v>
      </c>
      <c r="J16" s="17">
        <f>'[5]DP8 CAIHUASI S1'!J16+'[5]DP6 CAIHUASI S2'!J16</f>
        <v>12</v>
      </c>
      <c r="K16" s="17">
        <f>'[5]DP8 CAIHUASI S1'!K16+'[5]DP6 CAIHUASI S2'!K16</f>
        <v>11</v>
      </c>
      <c r="L16" s="17">
        <f>'[5]DP8 CAIHUASI S1'!L16+'[5]DP6 CAIHUASI S2'!L16</f>
        <v>2</v>
      </c>
      <c r="M16" s="17">
        <f>'[5]DP8 CAIHUASI S1'!M16+'[5]DP6 CAIHUASI S2'!M16</f>
        <v>0</v>
      </c>
      <c r="N16" s="17">
        <f>'[5]DP8 CAIHUASI S1'!N16+'[5]DP6 CAIHUASI S2'!N16</f>
        <v>0</v>
      </c>
      <c r="O16" s="17">
        <f t="shared" si="0"/>
        <v>92</v>
      </c>
      <c r="P16" s="18">
        <f t="shared" si="1"/>
        <v>2.4552975713904458E-2</v>
      </c>
    </row>
    <row r="17" spans="1:16" ht="17.25" customHeight="1" x14ac:dyDescent="0.25">
      <c r="A17" s="19" t="s">
        <v>32</v>
      </c>
      <c r="B17" s="17">
        <f>'[5]DP8 CAIHUASI S1'!B17+'[5]DP6 CAIHUASI S2'!B17</f>
        <v>27</v>
      </c>
      <c r="C17" s="17">
        <f>'[5]DP8 CAIHUASI S1'!C17+'[5]DP6 CAIHUASI S2'!C17</f>
        <v>5</v>
      </c>
      <c r="D17" s="17">
        <f>'[5]DP8 CAIHUASI S1'!D17+'[5]DP6 CAIHUASI S2'!D17</f>
        <v>22</v>
      </c>
      <c r="E17" s="17">
        <f>'[5]DP8 CAIHUASI S1'!E17+'[5]DP6 CAIHUASI S2'!E17</f>
        <v>0</v>
      </c>
      <c r="F17" s="17">
        <f>'[5]DP8 CAIHUASI S1'!F17+'[5]DP6 CAIHUASI S2'!F17</f>
        <v>1</v>
      </c>
      <c r="G17" s="17">
        <f>'[5]DP8 CAIHUASI S1'!G17+'[5]DP6 CAIHUASI S2'!G17</f>
        <v>15</v>
      </c>
      <c r="H17" s="17">
        <f>'[5]DP8 CAIHUASI S1'!H17+'[5]DP6 CAIHUASI S2'!H17</f>
        <v>2</v>
      </c>
      <c r="I17" s="17">
        <f>'[5]DP8 CAIHUASI S1'!I17+'[5]DP6 CAIHUASI S2'!I17</f>
        <v>7</v>
      </c>
      <c r="J17" s="17">
        <f>'[5]DP8 CAIHUASI S1'!J17+'[5]DP6 CAIHUASI S2'!J17</f>
        <v>5</v>
      </c>
      <c r="K17" s="17">
        <f>'[5]DP8 CAIHUASI S1'!K17+'[5]DP6 CAIHUASI S2'!K17</f>
        <v>42</v>
      </c>
      <c r="L17" s="17">
        <f>'[5]DP8 CAIHUASI S1'!L17+'[5]DP6 CAIHUASI S2'!L17</f>
        <v>2</v>
      </c>
      <c r="M17" s="17">
        <f>'[5]DP8 CAIHUASI S1'!M17+'[5]DP6 CAIHUASI S2'!M17</f>
        <v>2</v>
      </c>
      <c r="N17" s="17">
        <f>'[5]DP8 CAIHUASI S1'!N17+'[5]DP6 CAIHUASI S2'!N17</f>
        <v>0</v>
      </c>
      <c r="O17" s="17">
        <f t="shared" si="0"/>
        <v>130</v>
      </c>
      <c r="P17" s="18">
        <f t="shared" si="1"/>
        <v>3.4694422204430211E-2</v>
      </c>
    </row>
    <row r="18" spans="1:16" ht="17.25" customHeight="1" x14ac:dyDescent="0.25">
      <c r="A18" s="19" t="s">
        <v>33</v>
      </c>
      <c r="B18" s="17">
        <f>'[5]DP8 CAIHUASI S1'!B18+'[5]DP6 CAIHUASI S2'!B18</f>
        <v>51</v>
      </c>
      <c r="C18" s="17">
        <f>'[5]DP8 CAIHUASI S1'!C18+'[5]DP6 CAIHUASI S2'!C18</f>
        <v>7</v>
      </c>
      <c r="D18" s="17">
        <f>'[5]DP8 CAIHUASI S1'!D18+'[5]DP6 CAIHUASI S2'!D18</f>
        <v>21</v>
      </c>
      <c r="E18" s="17">
        <f>'[5]DP8 CAIHUASI S1'!E18+'[5]DP6 CAIHUASI S2'!E18</f>
        <v>0</v>
      </c>
      <c r="F18" s="17">
        <f>'[5]DP8 CAIHUASI S1'!F18+'[5]DP6 CAIHUASI S2'!F18</f>
        <v>3</v>
      </c>
      <c r="G18" s="17">
        <f>'[5]DP8 CAIHUASI S1'!G18+'[5]DP6 CAIHUASI S2'!G18</f>
        <v>6</v>
      </c>
      <c r="H18" s="17">
        <f>'[5]DP8 CAIHUASI S1'!H18+'[5]DP6 CAIHUASI S2'!H18</f>
        <v>5</v>
      </c>
      <c r="I18" s="17">
        <f>'[5]DP8 CAIHUASI S1'!I18+'[5]DP6 CAIHUASI S2'!I18</f>
        <v>9</v>
      </c>
      <c r="J18" s="17">
        <f>'[5]DP8 CAIHUASI S1'!J18+'[5]DP6 CAIHUASI S2'!J18</f>
        <v>14</v>
      </c>
      <c r="K18" s="17">
        <f>'[5]DP8 CAIHUASI S1'!K18+'[5]DP6 CAIHUASI S2'!K18</f>
        <v>25</v>
      </c>
      <c r="L18" s="17">
        <f>'[5]DP8 CAIHUASI S1'!L18+'[5]DP6 CAIHUASI S2'!L18</f>
        <v>2</v>
      </c>
      <c r="M18" s="17">
        <f>'[5]DP8 CAIHUASI S1'!M18+'[5]DP6 CAIHUASI S2'!M18</f>
        <v>2</v>
      </c>
      <c r="N18" s="17">
        <f>'[5]DP8 CAIHUASI S1'!N18+'[5]DP6 CAIHUASI S2'!N18</f>
        <v>0</v>
      </c>
      <c r="O18" s="17">
        <f t="shared" si="0"/>
        <v>145</v>
      </c>
      <c r="P18" s="18">
        <f t="shared" si="1"/>
        <v>3.8697624766479852E-2</v>
      </c>
    </row>
    <row r="19" spans="1:16" ht="17.25" customHeight="1" x14ac:dyDescent="0.25">
      <c r="A19" s="19" t="s">
        <v>34</v>
      </c>
      <c r="B19" s="17">
        <f>'[5]DP8 CAIHUASI S1'!B19+'[5]DP6 CAIHUASI S2'!B19</f>
        <v>55</v>
      </c>
      <c r="C19" s="17">
        <f>'[5]DP8 CAIHUASI S1'!C19+'[5]DP6 CAIHUASI S2'!C19</f>
        <v>11</v>
      </c>
      <c r="D19" s="17">
        <f>'[5]DP8 CAIHUASI S1'!D19+'[5]DP6 CAIHUASI S2'!D19</f>
        <v>24</v>
      </c>
      <c r="E19" s="17">
        <f>'[5]DP8 CAIHUASI S1'!E19+'[5]DP6 CAIHUASI S2'!E19</f>
        <v>0</v>
      </c>
      <c r="F19" s="17">
        <f>'[5]DP8 CAIHUASI S1'!F19+'[5]DP6 CAIHUASI S2'!F19</f>
        <v>2</v>
      </c>
      <c r="G19" s="17">
        <f>'[5]DP8 CAIHUASI S1'!G19+'[5]DP6 CAIHUASI S2'!G19</f>
        <v>9</v>
      </c>
      <c r="H19" s="17">
        <f>'[5]DP8 CAIHUASI S1'!H19+'[5]DP6 CAIHUASI S2'!H19</f>
        <v>0</v>
      </c>
      <c r="I19" s="17">
        <f>'[5]DP8 CAIHUASI S1'!I19+'[5]DP6 CAIHUASI S2'!I19</f>
        <v>9</v>
      </c>
      <c r="J19" s="17">
        <f>'[5]DP8 CAIHUASI S1'!J19+'[5]DP6 CAIHUASI S2'!J19</f>
        <v>11</v>
      </c>
      <c r="K19" s="17">
        <f>'[5]DP8 CAIHUASI S1'!K19+'[5]DP6 CAIHUASI S2'!K19</f>
        <v>31</v>
      </c>
      <c r="L19" s="17">
        <f>'[5]DP8 CAIHUASI S1'!L19+'[5]DP6 CAIHUASI S2'!L19</f>
        <v>1</v>
      </c>
      <c r="M19" s="17">
        <f>'[5]DP8 CAIHUASI S1'!M19+'[5]DP6 CAIHUASI S2'!M19</f>
        <v>3</v>
      </c>
      <c r="N19" s="17">
        <f>'[5]DP8 CAIHUASI S1'!N19+'[5]DP6 CAIHUASI S2'!N19</f>
        <v>0</v>
      </c>
      <c r="O19" s="17">
        <f t="shared" si="0"/>
        <v>156</v>
      </c>
      <c r="P19" s="18">
        <f t="shared" si="1"/>
        <v>4.1633306645316254E-2</v>
      </c>
    </row>
    <row r="20" spans="1:16" ht="17.25" customHeight="1" x14ac:dyDescent="0.25">
      <c r="A20" s="19" t="s">
        <v>35</v>
      </c>
      <c r="B20" s="17">
        <f>'[5]DP8 CAIHUASI S1'!B20+'[5]DP6 CAIHUASI S2'!B20</f>
        <v>24</v>
      </c>
      <c r="C20" s="17">
        <f>'[5]DP8 CAIHUASI S1'!C20+'[5]DP6 CAIHUASI S2'!C20</f>
        <v>7</v>
      </c>
      <c r="D20" s="17">
        <f>'[5]DP8 CAIHUASI S1'!D20+'[5]DP6 CAIHUASI S2'!D20</f>
        <v>14</v>
      </c>
      <c r="E20" s="17">
        <f>'[5]DP8 CAIHUASI S1'!E20+'[5]DP6 CAIHUASI S2'!E20</f>
        <v>0</v>
      </c>
      <c r="F20" s="17">
        <f>'[5]DP8 CAIHUASI S1'!F20+'[5]DP6 CAIHUASI S2'!F20</f>
        <v>5</v>
      </c>
      <c r="G20" s="17">
        <f>'[5]DP8 CAIHUASI S1'!G20+'[5]DP6 CAIHUASI S2'!G20</f>
        <v>24</v>
      </c>
      <c r="H20" s="17">
        <f>'[5]DP8 CAIHUASI S1'!H20+'[5]DP6 CAIHUASI S2'!H20</f>
        <v>6</v>
      </c>
      <c r="I20" s="17">
        <f>'[5]DP8 CAIHUASI S1'!I20+'[5]DP6 CAIHUASI S2'!I20</f>
        <v>7</v>
      </c>
      <c r="J20" s="17">
        <f>'[5]DP8 CAIHUASI S1'!J20+'[5]DP6 CAIHUASI S2'!J20</f>
        <v>20</v>
      </c>
      <c r="K20" s="17">
        <f>'[5]DP8 CAIHUASI S1'!K20+'[5]DP6 CAIHUASI S2'!K20</f>
        <v>16</v>
      </c>
      <c r="L20" s="17">
        <f>'[5]DP8 CAIHUASI S1'!L20+'[5]DP6 CAIHUASI S2'!L20</f>
        <v>7</v>
      </c>
      <c r="M20" s="17">
        <f>'[5]DP8 CAIHUASI S1'!M20+'[5]DP6 CAIHUASI S2'!M20</f>
        <v>0</v>
      </c>
      <c r="N20" s="17">
        <f>'[5]DP8 CAIHUASI S1'!N20+'[5]DP6 CAIHUASI S2'!N20</f>
        <v>0</v>
      </c>
      <c r="O20" s="17">
        <f t="shared" si="0"/>
        <v>130</v>
      </c>
      <c r="P20" s="18">
        <f t="shared" si="1"/>
        <v>3.4694422204430211E-2</v>
      </c>
    </row>
    <row r="21" spans="1:16" ht="17.25" customHeight="1" x14ac:dyDescent="0.25">
      <c r="A21" s="19" t="s">
        <v>36</v>
      </c>
      <c r="B21" s="17">
        <f>'[5]DP8 CAIHUASI S1'!B21+'[5]DP6 CAIHUASI S2'!B21</f>
        <v>51</v>
      </c>
      <c r="C21" s="17">
        <f>'[5]DP8 CAIHUASI S1'!C21+'[5]DP6 CAIHUASI S2'!C21</f>
        <v>25</v>
      </c>
      <c r="D21" s="17">
        <f>'[5]DP8 CAIHUASI S1'!D21+'[5]DP6 CAIHUASI S2'!D21</f>
        <v>32</v>
      </c>
      <c r="E21" s="17">
        <f>'[5]DP8 CAIHUASI S1'!E21+'[5]DP6 CAIHUASI S2'!E21</f>
        <v>0</v>
      </c>
      <c r="F21" s="17">
        <f>'[5]DP8 CAIHUASI S1'!F21+'[5]DP6 CAIHUASI S2'!F21</f>
        <v>10</v>
      </c>
      <c r="G21" s="17">
        <f>'[5]DP8 CAIHUASI S1'!G21+'[5]DP6 CAIHUASI S2'!G21</f>
        <v>34</v>
      </c>
      <c r="H21" s="17">
        <f>'[5]DP8 CAIHUASI S1'!H21+'[5]DP6 CAIHUASI S2'!H21</f>
        <v>0</v>
      </c>
      <c r="I21" s="17">
        <f>'[5]DP8 CAIHUASI S1'!I21+'[5]DP6 CAIHUASI S2'!I21</f>
        <v>20</v>
      </c>
      <c r="J21" s="17">
        <f>'[5]DP8 CAIHUASI S1'!J21+'[5]DP6 CAIHUASI S2'!J21</f>
        <v>26</v>
      </c>
      <c r="K21" s="17">
        <f>'[5]DP8 CAIHUASI S1'!K21+'[5]DP6 CAIHUASI S2'!K21</f>
        <v>35</v>
      </c>
      <c r="L21" s="17">
        <f>'[5]DP8 CAIHUASI S1'!L21+'[5]DP6 CAIHUASI S2'!L21</f>
        <v>14</v>
      </c>
      <c r="M21" s="17">
        <f>'[5]DP8 CAIHUASI S1'!M21+'[5]DP6 CAIHUASI S2'!M21</f>
        <v>0</v>
      </c>
      <c r="N21" s="17">
        <f>'[5]DP8 CAIHUASI S1'!N21+'[5]DP6 CAIHUASI S2'!N21</f>
        <v>0</v>
      </c>
      <c r="O21" s="17">
        <f t="shared" si="0"/>
        <v>247</v>
      </c>
      <c r="P21" s="18">
        <f t="shared" si="1"/>
        <v>6.5919402188417395E-2</v>
      </c>
    </row>
    <row r="22" spans="1:16" ht="17.25" customHeight="1" x14ac:dyDescent="0.25">
      <c r="A22" s="19" t="s">
        <v>37</v>
      </c>
      <c r="B22" s="17">
        <f>'[5]DP8 CAIHUASI S1'!B22+'[5]DP6 CAIHUASI S2'!B22</f>
        <v>42</v>
      </c>
      <c r="C22" s="17">
        <f>'[5]DP8 CAIHUASI S1'!C22+'[5]DP6 CAIHUASI S2'!C22</f>
        <v>13</v>
      </c>
      <c r="D22" s="17">
        <f>'[5]DP8 CAIHUASI S1'!D22+'[5]DP6 CAIHUASI S2'!D22</f>
        <v>28</v>
      </c>
      <c r="E22" s="17">
        <f>'[5]DP8 CAIHUASI S1'!E22+'[5]DP6 CAIHUASI S2'!E22</f>
        <v>0</v>
      </c>
      <c r="F22" s="17">
        <f>'[5]DP8 CAIHUASI S1'!F22+'[5]DP6 CAIHUASI S2'!F22</f>
        <v>0</v>
      </c>
      <c r="G22" s="17">
        <f>'[5]DP8 CAIHUASI S1'!G22+'[5]DP6 CAIHUASI S2'!G22</f>
        <v>22</v>
      </c>
      <c r="H22" s="17">
        <f>'[5]DP8 CAIHUASI S1'!H22+'[5]DP6 CAIHUASI S2'!H22</f>
        <v>1</v>
      </c>
      <c r="I22" s="17">
        <f>'[5]DP8 CAIHUASI S1'!I22+'[5]DP6 CAIHUASI S2'!I22</f>
        <v>8</v>
      </c>
      <c r="J22" s="17">
        <f>'[5]DP8 CAIHUASI S1'!J22+'[5]DP6 CAIHUASI S2'!J22</f>
        <v>9</v>
      </c>
      <c r="K22" s="17">
        <f>'[5]DP8 CAIHUASI S1'!K22+'[5]DP6 CAIHUASI S2'!K22</f>
        <v>18</v>
      </c>
      <c r="L22" s="17">
        <f>'[5]DP8 CAIHUASI S1'!L22+'[5]DP6 CAIHUASI S2'!L22</f>
        <v>0</v>
      </c>
      <c r="M22" s="17">
        <f>'[5]DP8 CAIHUASI S1'!M22+'[5]DP6 CAIHUASI S2'!M22</f>
        <v>2</v>
      </c>
      <c r="N22" s="17">
        <f>'[5]DP8 CAIHUASI S1'!N22+'[5]DP6 CAIHUASI S2'!N22</f>
        <v>0</v>
      </c>
      <c r="O22" s="17">
        <f t="shared" si="0"/>
        <v>143</v>
      </c>
      <c r="P22" s="18">
        <f t="shared" si="1"/>
        <v>3.8163864424873233E-2</v>
      </c>
    </row>
    <row r="23" spans="1:16" ht="17.25" customHeight="1" x14ac:dyDescent="0.25">
      <c r="A23" s="19" t="s">
        <v>38</v>
      </c>
      <c r="B23" s="17">
        <f>'[5]DP8 CAIHUASI S1'!B23+'[5]DP6 CAIHUASI S2'!B23</f>
        <v>57</v>
      </c>
      <c r="C23" s="17">
        <f>'[5]DP8 CAIHUASI S1'!C23+'[5]DP6 CAIHUASI S2'!C23</f>
        <v>3</v>
      </c>
      <c r="D23" s="17">
        <f>'[5]DP8 CAIHUASI S1'!D23+'[5]DP6 CAIHUASI S2'!D23</f>
        <v>23</v>
      </c>
      <c r="E23" s="17">
        <f>'[5]DP8 CAIHUASI S1'!E23+'[5]DP6 CAIHUASI S2'!E23</f>
        <v>0</v>
      </c>
      <c r="F23" s="17">
        <f>'[5]DP8 CAIHUASI S1'!F23+'[5]DP6 CAIHUASI S2'!F23</f>
        <v>2</v>
      </c>
      <c r="G23" s="17">
        <f>'[5]DP8 CAIHUASI S1'!G23+'[5]DP6 CAIHUASI S2'!G23</f>
        <v>24</v>
      </c>
      <c r="H23" s="17">
        <f>'[5]DP8 CAIHUASI S1'!H23+'[5]DP6 CAIHUASI S2'!H23</f>
        <v>0</v>
      </c>
      <c r="I23" s="17">
        <f>'[5]DP8 CAIHUASI S1'!I23+'[5]DP6 CAIHUASI S2'!I23</f>
        <v>3</v>
      </c>
      <c r="J23" s="17">
        <f>'[5]DP8 CAIHUASI S1'!J23+'[5]DP6 CAIHUASI S2'!J23</f>
        <v>12</v>
      </c>
      <c r="K23" s="17">
        <f>'[5]DP8 CAIHUASI S1'!K23+'[5]DP6 CAIHUASI S2'!K23</f>
        <v>14</v>
      </c>
      <c r="L23" s="17">
        <f>'[5]DP8 CAIHUASI S1'!L23+'[5]DP6 CAIHUASI S2'!L23</f>
        <v>20</v>
      </c>
      <c r="M23" s="17">
        <f>'[5]DP8 CAIHUASI S1'!M23+'[5]DP6 CAIHUASI S2'!M23</f>
        <v>0</v>
      </c>
      <c r="N23" s="17">
        <f>'[5]DP8 CAIHUASI S1'!N23+'[5]DP6 CAIHUASI S2'!N23</f>
        <v>0</v>
      </c>
      <c r="O23" s="17">
        <f t="shared" si="0"/>
        <v>158</v>
      </c>
      <c r="P23" s="18">
        <f t="shared" si="1"/>
        <v>4.2167066986922873E-2</v>
      </c>
    </row>
    <row r="24" spans="1:16" ht="17.25" customHeight="1" x14ac:dyDescent="0.25">
      <c r="A24" s="19" t="s">
        <v>39</v>
      </c>
      <c r="B24" s="17">
        <f>'[5]DP8 CAIHUASI S1'!B24+'[5]DP6 CAIHUASI S2'!B24</f>
        <v>38</v>
      </c>
      <c r="C24" s="17">
        <f>'[5]DP8 CAIHUASI S1'!C24+'[5]DP6 CAIHUASI S2'!C24</f>
        <v>6</v>
      </c>
      <c r="D24" s="17">
        <f>'[5]DP8 CAIHUASI S1'!D24+'[5]DP6 CAIHUASI S2'!D24</f>
        <v>42</v>
      </c>
      <c r="E24" s="17">
        <f>'[5]DP8 CAIHUASI S1'!E24+'[5]DP6 CAIHUASI S2'!E24</f>
        <v>1</v>
      </c>
      <c r="F24" s="17">
        <f>'[5]DP8 CAIHUASI S1'!F24+'[5]DP6 CAIHUASI S2'!F24</f>
        <v>5</v>
      </c>
      <c r="G24" s="17">
        <f>'[5]DP8 CAIHUASI S1'!G24+'[5]DP6 CAIHUASI S2'!G24</f>
        <v>29</v>
      </c>
      <c r="H24" s="17">
        <f>'[5]DP8 CAIHUASI S1'!H24+'[5]DP6 CAIHUASI S2'!H24</f>
        <v>4</v>
      </c>
      <c r="I24" s="17">
        <f>'[5]DP8 CAIHUASI S1'!I24+'[5]DP6 CAIHUASI S2'!I24</f>
        <v>13</v>
      </c>
      <c r="J24" s="17">
        <f>'[5]DP8 CAIHUASI S1'!J24+'[5]DP6 CAIHUASI S2'!J24</f>
        <v>9</v>
      </c>
      <c r="K24" s="17">
        <f>'[5]DP8 CAIHUASI S1'!K24+'[5]DP6 CAIHUASI S2'!K24</f>
        <v>33</v>
      </c>
      <c r="L24" s="17">
        <f>'[5]DP8 CAIHUASI S1'!L24+'[5]DP6 CAIHUASI S2'!L24</f>
        <v>31</v>
      </c>
      <c r="M24" s="17">
        <f>'[5]DP8 CAIHUASI S1'!M24+'[5]DP6 CAIHUASI S2'!M24</f>
        <v>2</v>
      </c>
      <c r="N24" s="17">
        <f>'[5]DP8 CAIHUASI S1'!N24+'[5]DP6 CAIHUASI S2'!N24</f>
        <v>0</v>
      </c>
      <c r="O24" s="17">
        <f t="shared" si="0"/>
        <v>213</v>
      </c>
      <c r="P24" s="18">
        <f t="shared" si="1"/>
        <v>5.6845476381104883E-2</v>
      </c>
    </row>
    <row r="25" spans="1:16" ht="17.25" customHeight="1" x14ac:dyDescent="0.25">
      <c r="A25" s="28" t="s">
        <v>40</v>
      </c>
      <c r="B25" s="29">
        <f>'[5]DP8 CAIHUASI S1'!B25+'[5]DP6 CAIHUASI S2'!B25</f>
        <v>67</v>
      </c>
      <c r="C25" s="29">
        <f>'[5]DP8 CAIHUASI S1'!C25+'[5]DP6 CAIHUASI S2'!C25</f>
        <v>19</v>
      </c>
      <c r="D25" s="29">
        <f>'[5]DP8 CAIHUASI S1'!D25+'[5]DP6 CAIHUASI S2'!D25</f>
        <v>47</v>
      </c>
      <c r="E25" s="29">
        <f>'[5]DP8 CAIHUASI S1'!E25+'[5]DP6 CAIHUASI S2'!E25</f>
        <v>0</v>
      </c>
      <c r="F25" s="29">
        <f>'[5]DP8 CAIHUASI S1'!F25+'[5]DP6 CAIHUASI S2'!F25</f>
        <v>7</v>
      </c>
      <c r="G25" s="29">
        <f>'[5]DP8 CAIHUASI S1'!G25+'[5]DP6 CAIHUASI S2'!G25</f>
        <v>40</v>
      </c>
      <c r="H25" s="29">
        <f>'[5]DP8 CAIHUASI S1'!H25+'[5]DP6 CAIHUASI S2'!H25</f>
        <v>7</v>
      </c>
      <c r="I25" s="29">
        <f>'[5]DP8 CAIHUASI S1'!I25+'[5]DP6 CAIHUASI S2'!I25</f>
        <v>19</v>
      </c>
      <c r="J25" s="29">
        <f>'[5]DP8 CAIHUASI S1'!J25+'[5]DP6 CAIHUASI S2'!J25</f>
        <v>17</v>
      </c>
      <c r="K25" s="29">
        <f>'[5]DP8 CAIHUASI S1'!K25+'[5]DP6 CAIHUASI S2'!K25</f>
        <v>37</v>
      </c>
      <c r="L25" s="29">
        <f>'[5]DP8 CAIHUASI S1'!L25+'[5]DP6 CAIHUASI S2'!L25</f>
        <v>22</v>
      </c>
      <c r="M25" s="29">
        <f>'[5]DP8 CAIHUASI S1'!M25+'[5]DP6 CAIHUASI S2'!M25</f>
        <v>5</v>
      </c>
      <c r="N25" s="29">
        <f>'[5]DP8 CAIHUASI S1'!N25+'[5]DP6 CAIHUASI S2'!N25</f>
        <v>0</v>
      </c>
      <c r="O25" s="29">
        <f t="shared" si="0"/>
        <v>287</v>
      </c>
      <c r="P25" s="30">
        <f t="shared" si="1"/>
        <v>7.6594609020549778E-2</v>
      </c>
    </row>
    <row r="26" spans="1:16" ht="17.25" customHeight="1" x14ac:dyDescent="0.25">
      <c r="A26" s="19" t="s">
        <v>41</v>
      </c>
      <c r="B26" s="17">
        <f>'[5]DP8 CAIHUASI S1'!B26+'[5]DP6 CAIHUASI S2'!B26</f>
        <v>41</v>
      </c>
      <c r="C26" s="17">
        <f>'[5]DP8 CAIHUASI S1'!C26+'[5]DP6 CAIHUASI S2'!C26</f>
        <v>6</v>
      </c>
      <c r="D26" s="17">
        <f>'[5]DP8 CAIHUASI S1'!D26+'[5]DP6 CAIHUASI S2'!D26</f>
        <v>44</v>
      </c>
      <c r="E26" s="17">
        <f>'[5]DP8 CAIHUASI S1'!E26+'[5]DP6 CAIHUASI S2'!E26</f>
        <v>2</v>
      </c>
      <c r="F26" s="17">
        <f>'[5]DP8 CAIHUASI S1'!F26+'[5]DP6 CAIHUASI S2'!F26</f>
        <v>4</v>
      </c>
      <c r="G26" s="17">
        <f>'[5]DP8 CAIHUASI S1'!G26+'[5]DP6 CAIHUASI S2'!G26</f>
        <v>19</v>
      </c>
      <c r="H26" s="17">
        <f>'[5]DP8 CAIHUASI S1'!H26+'[5]DP6 CAIHUASI S2'!H26</f>
        <v>4</v>
      </c>
      <c r="I26" s="17">
        <f>'[5]DP8 CAIHUASI S1'!I26+'[5]DP6 CAIHUASI S2'!I26</f>
        <v>16</v>
      </c>
      <c r="J26" s="17">
        <f>'[5]DP8 CAIHUASI S1'!J26+'[5]DP6 CAIHUASI S2'!J26</f>
        <v>30</v>
      </c>
      <c r="K26" s="17">
        <f>'[5]DP8 CAIHUASI S1'!K26+'[5]DP6 CAIHUASI S2'!K26</f>
        <v>28</v>
      </c>
      <c r="L26" s="17">
        <f>'[5]DP8 CAIHUASI S1'!L26+'[5]DP6 CAIHUASI S2'!L26</f>
        <v>10</v>
      </c>
      <c r="M26" s="17">
        <f>'[5]DP8 CAIHUASI S1'!M26+'[5]DP6 CAIHUASI S2'!M26</f>
        <v>0</v>
      </c>
      <c r="N26" s="17">
        <f>'[5]DP8 CAIHUASI S1'!N26+'[5]DP6 CAIHUASI S2'!N26</f>
        <v>0</v>
      </c>
      <c r="O26" s="17">
        <f t="shared" si="0"/>
        <v>204</v>
      </c>
      <c r="P26" s="18">
        <f t="shared" si="1"/>
        <v>5.44435548438751E-2</v>
      </c>
    </row>
    <row r="27" spans="1:16" ht="17.25" customHeight="1" x14ac:dyDescent="0.25">
      <c r="A27" s="19" t="s">
        <v>42</v>
      </c>
      <c r="B27" s="17">
        <f>'[5]DP8 CAIHUASI S1'!B27+'[5]DP6 CAIHUASI S2'!B27</f>
        <v>41</v>
      </c>
      <c r="C27" s="17">
        <f>'[5]DP8 CAIHUASI S1'!C27+'[5]DP6 CAIHUASI S2'!C27</f>
        <v>3</v>
      </c>
      <c r="D27" s="17">
        <f>'[5]DP8 CAIHUASI S1'!D27+'[5]DP6 CAIHUASI S2'!D27</f>
        <v>36</v>
      </c>
      <c r="E27" s="17">
        <f>'[5]DP8 CAIHUASI S1'!E27+'[5]DP6 CAIHUASI S2'!E27</f>
        <v>0</v>
      </c>
      <c r="F27" s="17">
        <f>'[5]DP8 CAIHUASI S1'!F27+'[5]DP6 CAIHUASI S2'!F27</f>
        <v>3</v>
      </c>
      <c r="G27" s="17">
        <f>'[5]DP8 CAIHUASI S1'!G27+'[5]DP6 CAIHUASI S2'!G27</f>
        <v>41</v>
      </c>
      <c r="H27" s="17">
        <f>'[5]DP8 CAIHUASI S1'!H27+'[5]DP6 CAIHUASI S2'!H27</f>
        <v>4</v>
      </c>
      <c r="I27" s="17">
        <f>'[5]DP8 CAIHUASI S1'!I27+'[5]DP6 CAIHUASI S2'!I27</f>
        <v>26</v>
      </c>
      <c r="J27" s="17">
        <f>'[5]DP8 CAIHUASI S1'!J27+'[5]DP6 CAIHUASI S2'!J27</f>
        <v>18</v>
      </c>
      <c r="K27" s="17">
        <f>'[5]DP8 CAIHUASI S1'!K27+'[5]DP6 CAIHUASI S2'!K27</f>
        <v>32</v>
      </c>
      <c r="L27" s="17">
        <f>'[5]DP8 CAIHUASI S1'!L27+'[5]DP6 CAIHUASI S2'!L27</f>
        <v>7</v>
      </c>
      <c r="M27" s="17">
        <f>'[5]DP8 CAIHUASI S1'!M27+'[5]DP6 CAIHUASI S2'!M27</f>
        <v>0</v>
      </c>
      <c r="N27" s="17">
        <f>'[5]DP8 CAIHUASI S1'!N27+'[5]DP6 CAIHUASI S2'!N27</f>
        <v>0</v>
      </c>
      <c r="O27" s="17">
        <f t="shared" si="0"/>
        <v>211</v>
      </c>
      <c r="P27" s="18">
        <f t="shared" si="1"/>
        <v>5.6311716039498264E-2</v>
      </c>
    </row>
    <row r="28" spans="1:16" ht="17.25" customHeight="1" x14ac:dyDescent="0.25">
      <c r="A28" s="19" t="s">
        <v>43</v>
      </c>
      <c r="B28" s="17">
        <f>'[5]DP8 CAIHUASI S1'!B28+'[5]DP6 CAIHUASI S2'!B28</f>
        <v>40</v>
      </c>
      <c r="C28" s="17">
        <f>'[5]DP8 CAIHUASI S1'!C28+'[5]DP6 CAIHUASI S2'!C28</f>
        <v>3</v>
      </c>
      <c r="D28" s="17">
        <f>'[5]DP8 CAIHUASI S1'!D28+'[5]DP6 CAIHUASI S2'!D28</f>
        <v>35</v>
      </c>
      <c r="E28" s="17">
        <f>'[5]DP8 CAIHUASI S1'!E28+'[5]DP6 CAIHUASI S2'!E28</f>
        <v>0</v>
      </c>
      <c r="F28" s="17">
        <f>'[5]DP8 CAIHUASI S1'!F28+'[5]DP6 CAIHUASI S2'!F28</f>
        <v>2</v>
      </c>
      <c r="G28" s="17">
        <f>'[5]DP8 CAIHUASI S1'!G28+'[5]DP6 CAIHUASI S2'!G28</f>
        <v>20</v>
      </c>
      <c r="H28" s="17">
        <f>'[5]DP8 CAIHUASI S1'!H28+'[5]DP6 CAIHUASI S2'!H28</f>
        <v>3</v>
      </c>
      <c r="I28" s="17">
        <f>'[5]DP8 CAIHUASI S1'!I28+'[5]DP6 CAIHUASI S2'!I28</f>
        <v>16</v>
      </c>
      <c r="J28" s="17">
        <f>'[5]DP8 CAIHUASI S1'!J28+'[5]DP6 CAIHUASI S2'!J28</f>
        <v>19</v>
      </c>
      <c r="K28" s="17">
        <f>'[5]DP8 CAIHUASI S1'!K28+'[5]DP6 CAIHUASI S2'!K28</f>
        <v>19</v>
      </c>
      <c r="L28" s="17">
        <f>'[5]DP8 CAIHUASI S1'!L28+'[5]DP6 CAIHUASI S2'!L28</f>
        <v>3</v>
      </c>
      <c r="M28" s="17">
        <f>'[5]DP8 CAIHUASI S1'!M28+'[5]DP6 CAIHUASI S2'!M28</f>
        <v>0</v>
      </c>
      <c r="N28" s="17">
        <f>'[5]DP8 CAIHUASI S1'!N28+'[5]DP6 CAIHUASI S2'!N28</f>
        <v>0</v>
      </c>
      <c r="O28" s="17">
        <f t="shared" si="0"/>
        <v>160</v>
      </c>
      <c r="P28" s="18">
        <f t="shared" si="1"/>
        <v>4.2700827328529492E-2</v>
      </c>
    </row>
    <row r="29" spans="1:16" ht="17.25" customHeight="1" x14ac:dyDescent="0.25">
      <c r="A29" s="19" t="s">
        <v>44</v>
      </c>
      <c r="B29" s="17">
        <f>'[5]DP8 CAIHUASI S1'!B29+'[5]DP6 CAIHUASI S2'!B29</f>
        <v>45</v>
      </c>
      <c r="C29" s="17">
        <f>'[5]DP8 CAIHUASI S1'!C29+'[5]DP6 CAIHUASI S2'!C29</f>
        <v>9</v>
      </c>
      <c r="D29" s="17">
        <f>'[5]DP8 CAIHUASI S1'!D29+'[5]DP6 CAIHUASI S2'!D29</f>
        <v>18</v>
      </c>
      <c r="E29" s="17">
        <f>'[5]DP8 CAIHUASI S1'!E29+'[5]DP6 CAIHUASI S2'!E29</f>
        <v>0</v>
      </c>
      <c r="F29" s="17">
        <f>'[5]DP8 CAIHUASI S1'!F29+'[5]DP6 CAIHUASI S2'!F29</f>
        <v>0</v>
      </c>
      <c r="G29" s="17">
        <f>'[5]DP8 CAIHUASI S1'!G29+'[5]DP6 CAIHUASI S2'!G29</f>
        <v>11</v>
      </c>
      <c r="H29" s="17">
        <f>'[5]DP8 CAIHUASI S1'!H29+'[5]DP6 CAIHUASI S2'!H29</f>
        <v>3</v>
      </c>
      <c r="I29" s="17">
        <f>'[5]DP8 CAIHUASI S1'!I29+'[5]DP6 CAIHUASI S2'!I29</f>
        <v>8</v>
      </c>
      <c r="J29" s="17">
        <f>'[5]DP8 CAIHUASI S1'!J29+'[5]DP6 CAIHUASI S2'!J29</f>
        <v>21</v>
      </c>
      <c r="K29" s="17">
        <f>'[5]DP8 CAIHUASI S1'!K29+'[5]DP6 CAIHUASI S2'!K29</f>
        <v>37</v>
      </c>
      <c r="L29" s="17">
        <f>'[5]DP8 CAIHUASI S1'!L29+'[5]DP6 CAIHUASI S2'!L29</f>
        <v>3</v>
      </c>
      <c r="M29" s="17">
        <f>'[5]DP8 CAIHUASI S1'!M29+'[5]DP6 CAIHUASI S2'!M29</f>
        <v>0</v>
      </c>
      <c r="N29" s="17">
        <f>'[5]DP8 CAIHUASI S1'!N29+'[5]DP6 CAIHUASI S2'!N29</f>
        <v>0</v>
      </c>
      <c r="O29" s="17">
        <f t="shared" si="0"/>
        <v>155</v>
      </c>
      <c r="P29" s="18">
        <f t="shared" si="1"/>
        <v>4.1366426474512941E-2</v>
      </c>
    </row>
    <row r="30" spans="1:16" ht="17.25" customHeight="1" x14ac:dyDescent="0.25">
      <c r="A30" s="19" t="s">
        <v>45</v>
      </c>
      <c r="B30" s="17">
        <f>'[5]DP8 CAIHUASI S1'!B30+'[5]DP6 CAIHUASI S2'!B30</f>
        <v>29</v>
      </c>
      <c r="C30" s="17">
        <f>'[5]DP8 CAIHUASI S1'!C30+'[5]DP6 CAIHUASI S2'!C30</f>
        <v>10</v>
      </c>
      <c r="D30" s="17">
        <f>'[5]DP8 CAIHUASI S1'!D30+'[5]DP6 CAIHUASI S2'!D30</f>
        <v>17</v>
      </c>
      <c r="E30" s="17">
        <f>'[5]DP8 CAIHUASI S1'!E30+'[5]DP6 CAIHUASI S2'!E30</f>
        <v>0</v>
      </c>
      <c r="F30" s="17">
        <f>'[5]DP8 CAIHUASI S1'!F30+'[5]DP6 CAIHUASI S2'!F30</f>
        <v>4</v>
      </c>
      <c r="G30" s="17">
        <f>'[5]DP8 CAIHUASI S1'!G30+'[5]DP6 CAIHUASI S2'!G30</f>
        <v>15</v>
      </c>
      <c r="H30" s="17">
        <f>'[5]DP8 CAIHUASI S1'!H30+'[5]DP6 CAIHUASI S2'!H30</f>
        <v>2</v>
      </c>
      <c r="I30" s="17">
        <f>'[5]DP8 CAIHUASI S1'!I30+'[5]DP6 CAIHUASI S2'!I30</f>
        <v>12</v>
      </c>
      <c r="J30" s="17">
        <f>'[5]DP8 CAIHUASI S1'!J30+'[5]DP6 CAIHUASI S2'!J30</f>
        <v>16</v>
      </c>
      <c r="K30" s="17">
        <f>'[5]DP8 CAIHUASI S1'!K30+'[5]DP6 CAIHUASI S2'!K30</f>
        <v>31</v>
      </c>
      <c r="L30" s="17">
        <f>'[5]DP8 CAIHUASI S1'!L30+'[5]DP6 CAIHUASI S2'!L30</f>
        <v>8</v>
      </c>
      <c r="M30" s="17">
        <f>'[5]DP8 CAIHUASI S1'!M30+'[5]DP6 CAIHUASI S2'!M30</f>
        <v>0</v>
      </c>
      <c r="N30" s="17">
        <f>'[5]DP8 CAIHUASI S1'!N30+'[5]DP6 CAIHUASI S2'!N30</f>
        <v>0</v>
      </c>
      <c r="O30" s="17">
        <f t="shared" si="0"/>
        <v>144</v>
      </c>
      <c r="P30" s="18">
        <f t="shared" si="1"/>
        <v>3.8430744595676539E-2</v>
      </c>
    </row>
    <row r="31" spans="1:16" ht="17.25" customHeight="1" x14ac:dyDescent="0.25">
      <c r="A31" s="19" t="s">
        <v>46</v>
      </c>
      <c r="B31" s="17">
        <f>'[5]DP8 CAIHUASI S1'!B31+'[5]DP6 CAIHUASI S2'!B31</f>
        <v>36</v>
      </c>
      <c r="C31" s="17">
        <f>'[5]DP8 CAIHUASI S1'!C31+'[5]DP6 CAIHUASI S2'!C31</f>
        <v>13</v>
      </c>
      <c r="D31" s="17">
        <f>'[5]DP8 CAIHUASI S1'!D31+'[5]DP6 CAIHUASI S2'!D31</f>
        <v>32</v>
      </c>
      <c r="E31" s="17">
        <f>'[5]DP8 CAIHUASI S1'!E31+'[5]DP6 CAIHUASI S2'!E31</f>
        <v>0</v>
      </c>
      <c r="F31" s="17">
        <f>'[5]DP8 CAIHUASI S1'!F31+'[5]DP6 CAIHUASI S2'!F31</f>
        <v>13</v>
      </c>
      <c r="G31" s="17">
        <f>'[5]DP8 CAIHUASI S1'!G31+'[5]DP6 CAIHUASI S2'!G31</f>
        <v>31</v>
      </c>
      <c r="H31" s="17">
        <f>'[5]DP8 CAIHUASI S1'!H31+'[5]DP6 CAIHUASI S2'!H31</f>
        <v>2</v>
      </c>
      <c r="I31" s="17">
        <f>'[5]DP8 CAIHUASI S1'!I31+'[5]DP6 CAIHUASI S2'!I31</f>
        <v>27</v>
      </c>
      <c r="J31" s="17">
        <f>'[5]DP8 CAIHUASI S1'!J31+'[5]DP6 CAIHUASI S2'!J31</f>
        <v>31</v>
      </c>
      <c r="K31" s="17">
        <f>'[5]DP8 CAIHUASI S1'!K31+'[5]DP6 CAIHUASI S2'!K31</f>
        <v>35</v>
      </c>
      <c r="L31" s="17">
        <f>'[5]DP8 CAIHUASI S1'!L31+'[5]DP6 CAIHUASI S2'!L31</f>
        <v>14</v>
      </c>
      <c r="M31" s="17">
        <f>'[5]DP8 CAIHUASI S1'!M31+'[5]DP6 CAIHUASI S2'!M31</f>
        <v>0</v>
      </c>
      <c r="N31" s="17">
        <f>'[5]DP8 CAIHUASI S1'!N31+'[5]DP6 CAIHUASI S2'!N31</f>
        <v>0</v>
      </c>
      <c r="O31" s="17">
        <f t="shared" si="0"/>
        <v>234</v>
      </c>
      <c r="P31" s="18">
        <f t="shared" si="1"/>
        <v>6.2449959967974381E-2</v>
      </c>
    </row>
    <row r="32" spans="1:16" ht="17.25" customHeight="1" x14ac:dyDescent="0.25">
      <c r="A32" s="19" t="s">
        <v>47</v>
      </c>
      <c r="B32" s="17">
        <f>'[5]DP8 CAIHUASI S1'!B32+'[5]DP6 CAIHUASI S2'!B32</f>
        <v>25</v>
      </c>
      <c r="C32" s="17">
        <f>'[5]DP8 CAIHUASI S1'!C32+'[5]DP6 CAIHUASI S2'!C32</f>
        <v>8</v>
      </c>
      <c r="D32" s="17">
        <f>'[5]DP8 CAIHUASI S1'!D32+'[5]DP6 CAIHUASI S2'!D32</f>
        <v>7</v>
      </c>
      <c r="E32" s="17">
        <f>'[5]DP8 CAIHUASI S1'!E32+'[5]DP6 CAIHUASI S2'!E32</f>
        <v>0</v>
      </c>
      <c r="F32" s="17">
        <f>'[5]DP8 CAIHUASI S1'!F32+'[5]DP6 CAIHUASI S2'!F32</f>
        <v>0</v>
      </c>
      <c r="G32" s="17">
        <f>'[5]DP8 CAIHUASI S1'!G32+'[5]DP6 CAIHUASI S2'!G32</f>
        <v>17</v>
      </c>
      <c r="H32" s="17">
        <f>'[5]DP8 CAIHUASI S1'!H32+'[5]DP6 CAIHUASI S2'!H32</f>
        <v>2</v>
      </c>
      <c r="I32" s="17">
        <f>'[5]DP8 CAIHUASI S1'!I32+'[5]DP6 CAIHUASI S2'!I32</f>
        <v>9</v>
      </c>
      <c r="J32" s="17">
        <f>'[5]DP8 CAIHUASI S1'!J32+'[5]DP6 CAIHUASI S2'!J32</f>
        <v>10</v>
      </c>
      <c r="K32" s="17">
        <f>'[5]DP8 CAIHUASI S1'!K32+'[5]DP6 CAIHUASI S2'!K32</f>
        <v>20</v>
      </c>
      <c r="L32" s="17">
        <f>'[5]DP8 CAIHUASI S1'!L32+'[5]DP6 CAIHUASI S2'!L32</f>
        <v>4</v>
      </c>
      <c r="M32" s="17">
        <f>'[5]DP8 CAIHUASI S1'!M32+'[5]DP6 CAIHUASI S2'!M32</f>
        <v>0</v>
      </c>
      <c r="N32" s="17">
        <f>'[5]DP8 CAIHUASI S1'!N32+'[5]DP6 CAIHUASI S2'!N32</f>
        <v>0</v>
      </c>
      <c r="O32" s="17">
        <f t="shared" si="0"/>
        <v>102</v>
      </c>
      <c r="P32" s="18">
        <f t="shared" si="1"/>
        <v>2.722177742193755E-2</v>
      </c>
    </row>
    <row r="33" spans="1:16" ht="17.25" customHeight="1" x14ac:dyDescent="0.25">
      <c r="A33" s="19" t="s">
        <v>48</v>
      </c>
      <c r="B33" s="17">
        <f>'[5]DP8 CAIHUASI S1'!B33+'[5]DP6 CAIHUASI S2'!B33</f>
        <v>13</v>
      </c>
      <c r="C33" s="17">
        <f>'[5]DP8 CAIHUASI S1'!C33+'[5]DP6 CAIHUASI S2'!C33</f>
        <v>2</v>
      </c>
      <c r="D33" s="17">
        <f>'[5]DP8 CAIHUASI S1'!D33+'[5]DP6 CAIHUASI S2'!D33</f>
        <v>11</v>
      </c>
      <c r="E33" s="17">
        <f>'[5]DP8 CAIHUASI S1'!E33+'[5]DP6 CAIHUASI S2'!E33</f>
        <v>0</v>
      </c>
      <c r="F33" s="17">
        <f>'[5]DP8 CAIHUASI S1'!F33+'[5]DP6 CAIHUASI S2'!F33</f>
        <v>4</v>
      </c>
      <c r="G33" s="17">
        <f>'[5]DP8 CAIHUASI S1'!G33+'[5]DP6 CAIHUASI S2'!G33</f>
        <v>9</v>
      </c>
      <c r="H33" s="17">
        <f>'[5]DP8 CAIHUASI S1'!H33+'[5]DP6 CAIHUASI S2'!H33</f>
        <v>1</v>
      </c>
      <c r="I33" s="17">
        <f>'[5]DP8 CAIHUASI S1'!I33+'[5]DP6 CAIHUASI S2'!I33</f>
        <v>10</v>
      </c>
      <c r="J33" s="17">
        <f>'[5]DP8 CAIHUASI S1'!J33+'[5]DP6 CAIHUASI S2'!J33</f>
        <v>23</v>
      </c>
      <c r="K33" s="17">
        <f>'[5]DP8 CAIHUASI S1'!K33+'[5]DP6 CAIHUASI S2'!K33</f>
        <v>35</v>
      </c>
      <c r="L33" s="17">
        <f>'[5]DP8 CAIHUASI S1'!L33+'[5]DP6 CAIHUASI S2'!L33</f>
        <v>8</v>
      </c>
      <c r="M33" s="17">
        <f>'[5]DP8 CAIHUASI S1'!M33+'[5]DP6 CAIHUASI S2'!M33</f>
        <v>0</v>
      </c>
      <c r="N33" s="17">
        <f>'[5]DP8 CAIHUASI S1'!N33+'[5]DP6 CAIHUASI S2'!N33</f>
        <v>0</v>
      </c>
      <c r="O33" s="17">
        <f t="shared" si="0"/>
        <v>116</v>
      </c>
      <c r="P33" s="18">
        <f t="shared" si="1"/>
        <v>3.0958099813183881E-2</v>
      </c>
    </row>
    <row r="34" spans="1:16" ht="17.25" customHeight="1" thickBot="1" x14ac:dyDescent="0.3">
      <c r="A34" s="20" t="s">
        <v>49</v>
      </c>
      <c r="B34" s="17">
        <f>'[5]DP8 CAIHUASI S1'!B34+'[5]DP6 CAIHUASI S2'!B34</f>
        <v>16</v>
      </c>
      <c r="C34" s="17">
        <f>'[5]DP8 CAIHUASI S1'!C34+'[5]DP6 CAIHUASI S2'!C34</f>
        <v>7</v>
      </c>
      <c r="D34" s="17">
        <f>'[5]DP8 CAIHUASI S1'!D34+'[5]DP6 CAIHUASI S2'!D34</f>
        <v>16</v>
      </c>
      <c r="E34" s="17">
        <f>'[5]DP8 CAIHUASI S1'!E34+'[5]DP6 CAIHUASI S2'!E34</f>
        <v>0</v>
      </c>
      <c r="F34" s="17">
        <f>'[5]DP8 CAIHUASI S1'!F34+'[5]DP6 CAIHUASI S2'!F34</f>
        <v>1</v>
      </c>
      <c r="G34" s="17">
        <f>'[5]DP8 CAIHUASI S1'!G34+'[5]DP6 CAIHUASI S2'!G34</f>
        <v>17</v>
      </c>
      <c r="H34" s="17">
        <f>'[5]DP8 CAIHUASI S1'!H34+'[5]DP6 CAIHUASI S2'!H34</f>
        <v>0</v>
      </c>
      <c r="I34" s="17">
        <f>'[5]DP8 CAIHUASI S1'!I34+'[5]DP6 CAIHUASI S2'!I34</f>
        <v>7</v>
      </c>
      <c r="J34" s="17">
        <f>'[5]DP8 CAIHUASI S1'!J34+'[5]DP6 CAIHUASI S2'!J34</f>
        <v>20</v>
      </c>
      <c r="K34" s="17">
        <f>'[5]DP8 CAIHUASI S1'!K34+'[5]DP6 CAIHUASI S2'!K34</f>
        <v>26</v>
      </c>
      <c r="L34" s="17">
        <f>'[5]DP8 CAIHUASI S1'!L34+'[5]DP6 CAIHUASI S2'!L34</f>
        <v>11</v>
      </c>
      <c r="M34" s="17">
        <f>'[5]DP8 CAIHUASI S1'!M34+'[5]DP6 CAIHUASI S2'!M34</f>
        <v>0</v>
      </c>
      <c r="N34" s="17">
        <f>'[5]DP8 CAIHUASI S1'!N34+'[5]DP6 CAIHUASI S2'!N34</f>
        <v>0</v>
      </c>
      <c r="O34" s="17">
        <f t="shared" si="0"/>
        <v>121</v>
      </c>
      <c r="P34" s="18">
        <f t="shared" si="1"/>
        <v>3.2292500667200429E-2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787</v>
      </c>
      <c r="C35" s="22">
        <f t="shared" si="2"/>
        <v>176</v>
      </c>
      <c r="D35" s="22">
        <f t="shared" si="2"/>
        <v>509</v>
      </c>
      <c r="E35" s="22">
        <f t="shared" si="2"/>
        <v>3</v>
      </c>
      <c r="F35" s="22">
        <f t="shared" si="2"/>
        <v>81</v>
      </c>
      <c r="G35" s="22">
        <f t="shared" si="2"/>
        <v>621</v>
      </c>
      <c r="H35" s="22">
        <f t="shared" si="2"/>
        <v>62</v>
      </c>
      <c r="I35" s="22">
        <f t="shared" si="2"/>
        <v>287</v>
      </c>
      <c r="J35" s="22">
        <f t="shared" si="2"/>
        <v>404</v>
      </c>
      <c r="K35" s="22">
        <f t="shared" si="2"/>
        <v>605</v>
      </c>
      <c r="L35" s="22">
        <f t="shared" si="2"/>
        <v>196</v>
      </c>
      <c r="M35" s="22">
        <f t="shared" si="2"/>
        <v>16</v>
      </c>
      <c r="N35" s="22">
        <f t="shared" si="2"/>
        <v>0</v>
      </c>
      <c r="O35" s="22">
        <f t="shared" si="2"/>
        <v>3747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0.21003469442220443</v>
      </c>
      <c r="C36" s="25">
        <f t="shared" si="3"/>
        <v>4.6970910061382438E-2</v>
      </c>
      <c r="D36" s="25">
        <f t="shared" si="3"/>
        <v>0.13584200693888443</v>
      </c>
      <c r="E36" s="25">
        <f t="shared" si="3"/>
        <v>8.0064051240992789E-4</v>
      </c>
      <c r="F36" s="25">
        <f t="shared" si="3"/>
        <v>2.1617293835068056E-2</v>
      </c>
      <c r="G36" s="25">
        <f t="shared" si="3"/>
        <v>0.16573258606885508</v>
      </c>
      <c r="H36" s="25">
        <f t="shared" si="3"/>
        <v>1.6546570589805177E-2</v>
      </c>
      <c r="I36" s="25">
        <f t="shared" si="3"/>
        <v>7.6594609020549778E-2</v>
      </c>
      <c r="J36" s="25">
        <f t="shared" si="3"/>
        <v>0.10781958900453696</v>
      </c>
      <c r="K36" s="25">
        <f t="shared" si="3"/>
        <v>0.16146250333600212</v>
      </c>
      <c r="L36" s="25">
        <f t="shared" si="3"/>
        <v>5.2308513477448623E-2</v>
      </c>
      <c r="M36" s="25">
        <f t="shared" si="3"/>
        <v>4.270082732852949E-3</v>
      </c>
      <c r="N36" s="25">
        <f t="shared" si="3"/>
        <v>0</v>
      </c>
      <c r="O36" s="25">
        <f>SUM(B36:N36)</f>
        <v>0.99999999999999978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63"/>
      <c r="T3" s="63"/>
      <c r="U3" s="63"/>
      <c r="V3" s="63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'[6]DP8 CAIHUASI S1'!B11+'[6]DP6 CAIHUASI S2'!B11</f>
        <v>24</v>
      </c>
      <c r="C11" s="17">
        <f>'[6]DP8 CAIHUASI S1'!C11+'[6]DP6 CAIHUASI S2'!C11</f>
        <v>9</v>
      </c>
      <c r="D11" s="17">
        <f>'[6]DP8 CAIHUASI S1'!D11+'[6]DP6 CAIHUASI S2'!D11</f>
        <v>6</v>
      </c>
      <c r="E11" s="17">
        <f>'[6]DP8 CAIHUASI S1'!E11+'[6]DP6 CAIHUASI S2'!E11</f>
        <v>0</v>
      </c>
      <c r="F11" s="17">
        <f>'[6]DP8 CAIHUASI S1'!F11+'[6]DP6 CAIHUASI S2'!F11</f>
        <v>7</v>
      </c>
      <c r="G11" s="17">
        <f>'[6]DP8 CAIHUASI S1'!G11+'[6]DP6 CAIHUASI S2'!G11</f>
        <v>32</v>
      </c>
      <c r="H11" s="17">
        <f>'[6]DP8 CAIHUASI S1'!H11+'[6]DP6 CAIHUASI S2'!H11</f>
        <v>8</v>
      </c>
      <c r="I11" s="17">
        <f>'[6]DP8 CAIHUASI S1'!I11+'[6]DP6 CAIHUASI S2'!I11</f>
        <v>12</v>
      </c>
      <c r="J11" s="17">
        <f>'[6]DP8 CAIHUASI S1'!J11+'[6]DP6 CAIHUASI S2'!J11</f>
        <v>15</v>
      </c>
      <c r="K11" s="17">
        <f>'[6]DP8 CAIHUASI S1'!K11+'[6]DP6 CAIHUASI S2'!K11</f>
        <v>26</v>
      </c>
      <c r="L11" s="17">
        <f>'[6]DP8 CAIHUASI S1'!L11+'[6]DP6 CAIHUASI S2'!L11</f>
        <v>7</v>
      </c>
      <c r="M11" s="17">
        <f>'[6]DP8 CAIHUASI S1'!M11+'[6]DP6 CAIHUASI S2'!M11</f>
        <v>1</v>
      </c>
      <c r="N11" s="17">
        <f>'[6]DP8 CAIHUASI S1'!N11+'[6]DP6 CAIHUASI S2'!N11</f>
        <v>0</v>
      </c>
      <c r="O11" s="17">
        <f t="shared" ref="O11:O34" si="0">SUM(B11:N11)</f>
        <v>147</v>
      </c>
      <c r="P11" s="18">
        <f t="shared" ref="P11:P34" si="1">O11/$O$35</f>
        <v>3.9558665231431644E-2</v>
      </c>
    </row>
    <row r="12" spans="1:32" ht="17.25" customHeight="1" x14ac:dyDescent="0.25">
      <c r="A12" s="19" t="s">
        <v>27</v>
      </c>
      <c r="B12" s="17">
        <f>'[6]DP8 CAIHUASI S1'!B12+'[6]DP6 CAIHUASI S2'!B12</f>
        <v>10</v>
      </c>
      <c r="C12" s="17">
        <f>'[6]DP8 CAIHUASI S1'!C12+'[6]DP6 CAIHUASI S2'!C12</f>
        <v>1</v>
      </c>
      <c r="D12" s="17">
        <f>'[6]DP8 CAIHUASI S1'!D12+'[6]DP6 CAIHUASI S2'!D12</f>
        <v>7</v>
      </c>
      <c r="E12" s="17">
        <f>'[6]DP8 CAIHUASI S1'!E12+'[6]DP6 CAIHUASI S2'!E12</f>
        <v>0</v>
      </c>
      <c r="F12" s="17">
        <f>'[6]DP8 CAIHUASI S1'!F12+'[6]DP6 CAIHUASI S2'!F12</f>
        <v>5</v>
      </c>
      <c r="G12" s="17">
        <f>'[6]DP8 CAIHUASI S1'!G12+'[6]DP6 CAIHUASI S2'!G12</f>
        <v>70</v>
      </c>
      <c r="H12" s="17">
        <f>'[6]DP8 CAIHUASI S1'!H12+'[6]DP6 CAIHUASI S2'!H12</f>
        <v>1</v>
      </c>
      <c r="I12" s="17">
        <f>'[6]DP8 CAIHUASI S1'!I12+'[6]DP6 CAIHUASI S2'!I12</f>
        <v>12</v>
      </c>
      <c r="J12" s="17">
        <f>'[6]DP8 CAIHUASI S1'!J12+'[6]DP6 CAIHUASI S2'!J12</f>
        <v>21</v>
      </c>
      <c r="K12" s="17">
        <f>'[6]DP8 CAIHUASI S1'!K12+'[6]DP6 CAIHUASI S2'!K12</f>
        <v>21</v>
      </c>
      <c r="L12" s="17">
        <f>'[6]DP8 CAIHUASI S1'!L12+'[6]DP6 CAIHUASI S2'!L12</f>
        <v>2</v>
      </c>
      <c r="M12" s="17">
        <f>'[6]DP8 CAIHUASI S1'!M12+'[6]DP6 CAIHUASI S2'!M12</f>
        <v>0</v>
      </c>
      <c r="N12" s="17">
        <f>'[6]DP8 CAIHUASI S1'!N12+'[6]DP6 CAIHUASI S2'!N12</f>
        <v>0</v>
      </c>
      <c r="O12" s="17">
        <f t="shared" si="0"/>
        <v>150</v>
      </c>
      <c r="P12" s="18">
        <f t="shared" si="1"/>
        <v>4.0365984930032295E-2</v>
      </c>
    </row>
    <row r="13" spans="1:32" ht="17.25" customHeight="1" x14ac:dyDescent="0.25">
      <c r="A13" s="19" t="s">
        <v>28</v>
      </c>
      <c r="B13" s="17">
        <f>'[6]DP8 CAIHUASI S1'!B13+'[6]DP6 CAIHUASI S2'!B13</f>
        <v>10</v>
      </c>
      <c r="C13" s="17">
        <f>'[6]DP8 CAIHUASI S1'!C13+'[6]DP6 CAIHUASI S2'!C13</f>
        <v>1</v>
      </c>
      <c r="D13" s="17">
        <f>'[6]DP8 CAIHUASI S1'!D13+'[6]DP6 CAIHUASI S2'!D13</f>
        <v>4</v>
      </c>
      <c r="E13" s="17">
        <f>'[6]DP8 CAIHUASI S1'!E13+'[6]DP6 CAIHUASI S2'!E13</f>
        <v>1</v>
      </c>
      <c r="F13" s="17">
        <f>'[6]DP8 CAIHUASI S1'!F13+'[6]DP6 CAIHUASI S2'!F13</f>
        <v>4</v>
      </c>
      <c r="G13" s="17">
        <f>'[6]DP8 CAIHUASI S1'!G13+'[6]DP6 CAIHUASI S2'!G13</f>
        <v>53</v>
      </c>
      <c r="H13" s="17">
        <f>'[6]DP8 CAIHUASI S1'!H13+'[6]DP6 CAIHUASI S2'!H13</f>
        <v>2</v>
      </c>
      <c r="I13" s="17">
        <f>'[6]DP8 CAIHUASI S1'!I13+'[6]DP6 CAIHUASI S2'!I13</f>
        <v>10</v>
      </c>
      <c r="J13" s="17">
        <f>'[6]DP8 CAIHUASI S1'!J13+'[6]DP6 CAIHUASI S2'!J13</f>
        <v>20</v>
      </c>
      <c r="K13" s="17">
        <f>'[6]DP8 CAIHUASI S1'!K13+'[6]DP6 CAIHUASI S2'!K13</f>
        <v>6</v>
      </c>
      <c r="L13" s="17">
        <f>'[6]DP8 CAIHUASI S1'!L13+'[6]DP6 CAIHUASI S2'!L13</f>
        <v>0</v>
      </c>
      <c r="M13" s="17">
        <f>'[6]DP8 CAIHUASI S1'!M13+'[6]DP6 CAIHUASI S2'!M13</f>
        <v>0</v>
      </c>
      <c r="N13" s="17">
        <f>'[6]DP8 CAIHUASI S1'!N13+'[6]DP6 CAIHUASI S2'!N13</f>
        <v>0</v>
      </c>
      <c r="O13" s="17">
        <f t="shared" si="0"/>
        <v>111</v>
      </c>
      <c r="P13" s="18">
        <f t="shared" si="1"/>
        <v>2.9870828848223896E-2</v>
      </c>
    </row>
    <row r="14" spans="1:32" ht="17.25" customHeight="1" x14ac:dyDescent="0.25">
      <c r="A14" s="19" t="s">
        <v>29</v>
      </c>
      <c r="B14" s="17">
        <f>'[6]DP8 CAIHUASI S1'!B14+'[6]DP6 CAIHUASI S2'!B14</f>
        <v>7</v>
      </c>
      <c r="C14" s="17">
        <f>'[6]DP8 CAIHUASI S1'!C14+'[6]DP6 CAIHUASI S2'!C14</f>
        <v>0</v>
      </c>
      <c r="D14" s="17">
        <f>'[6]DP8 CAIHUASI S1'!D14+'[6]DP6 CAIHUASI S2'!D14</f>
        <v>1</v>
      </c>
      <c r="E14" s="17">
        <f>'[6]DP8 CAIHUASI S1'!E14+'[6]DP6 CAIHUASI S2'!E14</f>
        <v>0</v>
      </c>
      <c r="F14" s="17">
        <f>'[6]DP8 CAIHUASI S1'!F14+'[6]DP6 CAIHUASI S2'!F14</f>
        <v>1</v>
      </c>
      <c r="G14" s="17">
        <f>'[6]DP8 CAIHUASI S1'!G14+'[6]DP6 CAIHUASI S2'!G14</f>
        <v>7</v>
      </c>
      <c r="H14" s="17">
        <f>'[6]DP8 CAIHUASI S1'!H14+'[6]DP6 CAIHUASI S2'!H14</f>
        <v>0</v>
      </c>
      <c r="I14" s="17">
        <f>'[6]DP8 CAIHUASI S1'!I14+'[6]DP6 CAIHUASI S2'!I14</f>
        <v>6</v>
      </c>
      <c r="J14" s="17">
        <f>'[6]DP8 CAIHUASI S1'!J14+'[6]DP6 CAIHUASI S2'!J14</f>
        <v>11</v>
      </c>
      <c r="K14" s="17">
        <f>'[6]DP8 CAIHUASI S1'!K14+'[6]DP6 CAIHUASI S2'!K14</f>
        <v>17</v>
      </c>
      <c r="L14" s="17">
        <f>'[6]DP8 CAIHUASI S1'!L14+'[6]DP6 CAIHUASI S2'!L14</f>
        <v>2</v>
      </c>
      <c r="M14" s="17">
        <f>'[6]DP8 CAIHUASI S1'!M14+'[6]DP6 CAIHUASI S2'!M14</f>
        <v>0</v>
      </c>
      <c r="N14" s="17">
        <f>'[6]DP8 CAIHUASI S1'!N14+'[6]DP6 CAIHUASI S2'!N14</f>
        <v>0</v>
      </c>
      <c r="O14" s="17">
        <f t="shared" si="0"/>
        <v>52</v>
      </c>
      <c r="P14" s="18">
        <f t="shared" si="1"/>
        <v>1.3993541442411194E-2</v>
      </c>
    </row>
    <row r="15" spans="1:32" ht="17.25" customHeight="1" x14ac:dyDescent="0.25">
      <c r="A15" s="19" t="s">
        <v>30</v>
      </c>
      <c r="B15" s="17">
        <f>'[6]DP8 CAIHUASI S1'!B15+'[6]DP6 CAIHUASI S2'!B15</f>
        <v>4</v>
      </c>
      <c r="C15" s="17">
        <f>'[6]DP8 CAIHUASI S1'!C15+'[6]DP6 CAIHUASI S2'!C15</f>
        <v>2</v>
      </c>
      <c r="D15" s="17">
        <f>'[6]DP8 CAIHUASI S1'!D15+'[6]DP6 CAIHUASI S2'!D15</f>
        <v>3</v>
      </c>
      <c r="E15" s="17">
        <f>'[6]DP8 CAIHUASI S1'!E15+'[6]DP6 CAIHUASI S2'!E15</f>
        <v>0</v>
      </c>
      <c r="F15" s="17">
        <f>'[6]DP8 CAIHUASI S1'!F15+'[6]DP6 CAIHUASI S2'!F15</f>
        <v>1</v>
      </c>
      <c r="G15" s="17">
        <f>'[6]DP8 CAIHUASI S1'!G15+'[6]DP6 CAIHUASI S2'!G15</f>
        <v>6</v>
      </c>
      <c r="H15" s="17">
        <f>'[6]DP8 CAIHUASI S1'!H15+'[6]DP6 CAIHUASI S2'!H15</f>
        <v>1</v>
      </c>
      <c r="I15" s="17">
        <f>'[6]DP8 CAIHUASI S1'!I15+'[6]DP6 CAIHUASI S2'!I15</f>
        <v>4</v>
      </c>
      <c r="J15" s="17">
        <f>'[6]DP8 CAIHUASI S1'!J15+'[6]DP6 CAIHUASI S2'!J15</f>
        <v>8</v>
      </c>
      <c r="K15" s="17">
        <f>'[6]DP8 CAIHUASI S1'!K15+'[6]DP6 CAIHUASI S2'!K15</f>
        <v>8</v>
      </c>
      <c r="L15" s="17">
        <f>'[6]DP8 CAIHUASI S1'!L15+'[6]DP6 CAIHUASI S2'!L15</f>
        <v>2</v>
      </c>
      <c r="M15" s="17">
        <f>'[6]DP8 CAIHUASI S1'!M15+'[6]DP6 CAIHUASI S2'!M15</f>
        <v>0</v>
      </c>
      <c r="N15" s="17">
        <f>'[6]DP8 CAIHUASI S1'!N15+'[6]DP6 CAIHUASI S2'!N15</f>
        <v>0</v>
      </c>
      <c r="O15" s="17">
        <f t="shared" si="0"/>
        <v>39</v>
      </c>
      <c r="P15" s="18">
        <f t="shared" si="1"/>
        <v>1.0495156081808395E-2</v>
      </c>
    </row>
    <row r="16" spans="1:32" ht="17.25" customHeight="1" x14ac:dyDescent="0.25">
      <c r="A16" s="19" t="s">
        <v>31</v>
      </c>
      <c r="B16" s="17">
        <f>'[6]DP8 CAIHUASI S1'!B16+'[6]DP6 CAIHUASI S2'!B16</f>
        <v>12</v>
      </c>
      <c r="C16" s="17">
        <f>'[6]DP8 CAIHUASI S1'!C16+'[6]DP6 CAIHUASI S2'!C16</f>
        <v>4</v>
      </c>
      <c r="D16" s="17">
        <f>'[6]DP8 CAIHUASI S1'!D16+'[6]DP6 CAIHUASI S2'!D16</f>
        <v>12</v>
      </c>
      <c r="E16" s="17">
        <f>'[6]DP8 CAIHUASI S1'!E16+'[6]DP6 CAIHUASI S2'!E16</f>
        <v>0</v>
      </c>
      <c r="F16" s="17">
        <f>'[6]DP8 CAIHUASI S1'!F16+'[6]DP6 CAIHUASI S2'!F16</f>
        <v>0</v>
      </c>
      <c r="G16" s="17">
        <f>'[6]DP8 CAIHUASI S1'!G16+'[6]DP6 CAIHUASI S2'!G16</f>
        <v>9</v>
      </c>
      <c r="H16" s="17">
        <f>'[6]DP8 CAIHUASI S1'!H16+'[6]DP6 CAIHUASI S2'!H16</f>
        <v>0</v>
      </c>
      <c r="I16" s="17">
        <f>'[6]DP8 CAIHUASI S1'!I16+'[6]DP6 CAIHUASI S2'!I16</f>
        <v>5</v>
      </c>
      <c r="J16" s="17">
        <f>'[6]DP8 CAIHUASI S1'!J16+'[6]DP6 CAIHUASI S2'!J16</f>
        <v>14</v>
      </c>
      <c r="K16" s="17">
        <f>'[6]DP8 CAIHUASI S1'!K16+'[6]DP6 CAIHUASI S2'!K16</f>
        <v>23</v>
      </c>
      <c r="L16" s="17">
        <f>'[6]DP8 CAIHUASI S1'!L16+'[6]DP6 CAIHUASI S2'!L16</f>
        <v>4</v>
      </c>
      <c r="M16" s="17">
        <f>'[6]DP8 CAIHUASI S1'!M16+'[6]DP6 CAIHUASI S2'!M16</f>
        <v>0</v>
      </c>
      <c r="N16" s="17">
        <f>'[6]DP8 CAIHUASI S1'!N16+'[6]DP6 CAIHUASI S2'!N16</f>
        <v>0</v>
      </c>
      <c r="O16" s="17">
        <f t="shared" si="0"/>
        <v>83</v>
      </c>
      <c r="P16" s="18">
        <f t="shared" si="1"/>
        <v>2.2335844994617868E-2</v>
      </c>
    </row>
    <row r="17" spans="1:16" ht="17.25" customHeight="1" x14ac:dyDescent="0.25">
      <c r="A17" s="19" t="s">
        <v>32</v>
      </c>
      <c r="B17" s="17">
        <f>'[6]DP8 CAIHUASI S1'!B17+'[6]DP6 CAIHUASI S2'!B17</f>
        <v>16</v>
      </c>
      <c r="C17" s="17">
        <f>'[6]DP8 CAIHUASI S1'!C17+'[6]DP6 CAIHUASI S2'!C17</f>
        <v>6</v>
      </c>
      <c r="D17" s="17">
        <f>'[6]DP8 CAIHUASI S1'!D17+'[6]DP6 CAIHUASI S2'!D17</f>
        <v>18</v>
      </c>
      <c r="E17" s="17">
        <f>'[6]DP8 CAIHUASI S1'!E17+'[6]DP6 CAIHUASI S2'!E17</f>
        <v>0</v>
      </c>
      <c r="F17" s="17">
        <f>'[6]DP8 CAIHUASI S1'!F17+'[6]DP6 CAIHUASI S2'!F17</f>
        <v>2</v>
      </c>
      <c r="G17" s="17">
        <f>'[6]DP8 CAIHUASI S1'!G17+'[6]DP6 CAIHUASI S2'!G17</f>
        <v>10</v>
      </c>
      <c r="H17" s="17">
        <f>'[6]DP8 CAIHUASI S1'!H17+'[6]DP6 CAIHUASI S2'!H17</f>
        <v>1</v>
      </c>
      <c r="I17" s="17">
        <f>'[6]DP8 CAIHUASI S1'!I17+'[6]DP6 CAIHUASI S2'!I17</f>
        <v>6</v>
      </c>
      <c r="J17" s="17">
        <f>'[6]DP8 CAIHUASI S1'!J17+'[6]DP6 CAIHUASI S2'!J17</f>
        <v>12</v>
      </c>
      <c r="K17" s="17">
        <f>'[6]DP8 CAIHUASI S1'!K17+'[6]DP6 CAIHUASI S2'!K17</f>
        <v>30</v>
      </c>
      <c r="L17" s="17">
        <f>'[6]DP8 CAIHUASI S1'!L17+'[6]DP6 CAIHUASI S2'!L17</f>
        <v>6</v>
      </c>
      <c r="M17" s="17">
        <f>'[6]DP8 CAIHUASI S1'!M17+'[6]DP6 CAIHUASI S2'!M17</f>
        <v>2</v>
      </c>
      <c r="N17" s="17">
        <f>'[6]DP8 CAIHUASI S1'!N17+'[6]DP6 CAIHUASI S2'!N17</f>
        <v>0</v>
      </c>
      <c r="O17" s="17">
        <f t="shared" si="0"/>
        <v>109</v>
      </c>
      <c r="P17" s="18">
        <f t="shared" si="1"/>
        <v>2.9332615715823466E-2</v>
      </c>
    </row>
    <row r="18" spans="1:16" ht="17.25" customHeight="1" x14ac:dyDescent="0.25">
      <c r="A18" s="19" t="s">
        <v>33</v>
      </c>
      <c r="B18" s="17">
        <f>'[6]DP8 CAIHUASI S1'!B18+'[6]DP6 CAIHUASI S2'!B18</f>
        <v>39</v>
      </c>
      <c r="C18" s="17">
        <f>'[6]DP8 CAIHUASI S1'!C18+'[6]DP6 CAIHUASI S2'!C18</f>
        <v>9</v>
      </c>
      <c r="D18" s="17">
        <f>'[6]DP8 CAIHUASI S1'!D18+'[6]DP6 CAIHUASI S2'!D18</f>
        <v>17</v>
      </c>
      <c r="E18" s="17">
        <f>'[6]DP8 CAIHUASI S1'!E18+'[6]DP6 CAIHUASI S2'!E18</f>
        <v>0</v>
      </c>
      <c r="F18" s="17">
        <f>'[6]DP8 CAIHUASI S1'!F18+'[6]DP6 CAIHUASI S2'!F18</f>
        <v>1</v>
      </c>
      <c r="G18" s="17">
        <f>'[6]DP8 CAIHUASI S1'!G18+'[6]DP6 CAIHUASI S2'!G18</f>
        <v>6</v>
      </c>
      <c r="H18" s="17">
        <f>'[6]DP8 CAIHUASI S1'!H18+'[6]DP6 CAIHUASI S2'!H18</f>
        <v>1</v>
      </c>
      <c r="I18" s="17">
        <f>'[6]DP8 CAIHUASI S1'!I18+'[6]DP6 CAIHUASI S2'!I18</f>
        <v>10</v>
      </c>
      <c r="J18" s="17">
        <f>'[6]DP8 CAIHUASI S1'!J18+'[6]DP6 CAIHUASI S2'!J18</f>
        <v>17</v>
      </c>
      <c r="K18" s="17">
        <f>'[6]DP8 CAIHUASI S1'!K18+'[6]DP6 CAIHUASI S2'!K18</f>
        <v>32</v>
      </c>
      <c r="L18" s="17">
        <f>'[6]DP8 CAIHUASI S1'!L18+'[6]DP6 CAIHUASI S2'!L18</f>
        <v>2</v>
      </c>
      <c r="M18" s="17">
        <f>'[6]DP8 CAIHUASI S1'!M18+'[6]DP6 CAIHUASI S2'!M18</f>
        <v>0</v>
      </c>
      <c r="N18" s="17">
        <f>'[6]DP8 CAIHUASI S1'!N18+'[6]DP6 CAIHUASI S2'!N18</f>
        <v>0</v>
      </c>
      <c r="O18" s="17">
        <f t="shared" si="0"/>
        <v>134</v>
      </c>
      <c r="P18" s="18">
        <f t="shared" si="1"/>
        <v>3.6060279870828847E-2</v>
      </c>
    </row>
    <row r="19" spans="1:16" ht="17.25" customHeight="1" x14ac:dyDescent="0.25">
      <c r="A19" s="19" t="s">
        <v>34</v>
      </c>
      <c r="B19" s="17">
        <f>'[6]DP8 CAIHUASI S1'!B19+'[6]DP6 CAIHUASI S2'!B19</f>
        <v>56</v>
      </c>
      <c r="C19" s="17">
        <f>'[6]DP8 CAIHUASI S1'!C19+'[6]DP6 CAIHUASI S2'!C19</f>
        <v>17</v>
      </c>
      <c r="D19" s="17">
        <f>'[6]DP8 CAIHUASI S1'!D19+'[6]DP6 CAIHUASI S2'!D19</f>
        <v>25</v>
      </c>
      <c r="E19" s="17">
        <f>'[6]DP8 CAIHUASI S1'!E19+'[6]DP6 CAIHUASI S2'!E19</f>
        <v>2</v>
      </c>
      <c r="F19" s="17">
        <f>'[6]DP8 CAIHUASI S1'!F19+'[6]DP6 CAIHUASI S2'!F19</f>
        <v>2</v>
      </c>
      <c r="G19" s="17">
        <f>'[6]DP8 CAIHUASI S1'!G19+'[6]DP6 CAIHUASI S2'!G19</f>
        <v>14</v>
      </c>
      <c r="H19" s="17">
        <f>'[6]DP8 CAIHUASI S1'!H19+'[6]DP6 CAIHUASI S2'!H19</f>
        <v>4</v>
      </c>
      <c r="I19" s="17">
        <f>'[6]DP8 CAIHUASI S1'!I19+'[6]DP6 CAIHUASI S2'!I19</f>
        <v>4</v>
      </c>
      <c r="J19" s="17">
        <f>'[6]DP8 CAIHUASI S1'!J19+'[6]DP6 CAIHUASI S2'!J19</f>
        <v>18</v>
      </c>
      <c r="K19" s="17">
        <f>'[6]DP8 CAIHUASI S1'!K19+'[6]DP6 CAIHUASI S2'!K19</f>
        <v>20</v>
      </c>
      <c r="L19" s="17">
        <f>'[6]DP8 CAIHUASI S1'!L19+'[6]DP6 CAIHUASI S2'!L19</f>
        <v>7</v>
      </c>
      <c r="M19" s="17">
        <f>'[6]DP8 CAIHUASI S1'!M19+'[6]DP6 CAIHUASI S2'!M19</f>
        <v>4</v>
      </c>
      <c r="N19" s="17">
        <f>'[6]DP8 CAIHUASI S1'!N19+'[6]DP6 CAIHUASI S2'!N19</f>
        <v>0</v>
      </c>
      <c r="O19" s="17">
        <f t="shared" si="0"/>
        <v>173</v>
      </c>
      <c r="P19" s="18">
        <f t="shared" si="1"/>
        <v>4.6555435952637246E-2</v>
      </c>
    </row>
    <row r="20" spans="1:16" ht="17.25" customHeight="1" x14ac:dyDescent="0.25">
      <c r="A20" s="19" t="s">
        <v>35</v>
      </c>
      <c r="B20" s="17">
        <f>'[6]DP8 CAIHUASI S1'!B20+'[6]DP6 CAIHUASI S2'!B20</f>
        <v>38</v>
      </c>
      <c r="C20" s="17">
        <f>'[6]DP8 CAIHUASI S1'!C20+'[6]DP6 CAIHUASI S2'!C20</f>
        <v>7</v>
      </c>
      <c r="D20" s="17">
        <f>'[6]DP8 CAIHUASI S1'!D20+'[6]DP6 CAIHUASI S2'!D20</f>
        <v>11</v>
      </c>
      <c r="E20" s="17">
        <f>'[6]DP8 CAIHUASI S1'!E20+'[6]DP6 CAIHUASI S2'!E20</f>
        <v>1</v>
      </c>
      <c r="F20" s="17">
        <f>'[6]DP8 CAIHUASI S1'!F20+'[6]DP6 CAIHUASI S2'!F20</f>
        <v>1</v>
      </c>
      <c r="G20" s="17">
        <f>'[6]DP8 CAIHUASI S1'!G20+'[6]DP6 CAIHUASI S2'!G20</f>
        <v>13</v>
      </c>
      <c r="H20" s="17">
        <f>'[6]DP8 CAIHUASI S1'!H20+'[6]DP6 CAIHUASI S2'!H20</f>
        <v>1</v>
      </c>
      <c r="I20" s="17">
        <f>'[6]DP8 CAIHUASI S1'!I20+'[6]DP6 CAIHUASI S2'!I20</f>
        <v>10</v>
      </c>
      <c r="J20" s="17">
        <f>'[6]DP8 CAIHUASI S1'!J20+'[6]DP6 CAIHUASI S2'!J20</f>
        <v>13</v>
      </c>
      <c r="K20" s="17">
        <f>'[6]DP8 CAIHUASI S1'!K20+'[6]DP6 CAIHUASI S2'!K20</f>
        <v>22</v>
      </c>
      <c r="L20" s="17">
        <f>'[6]DP8 CAIHUASI S1'!L20+'[6]DP6 CAIHUASI S2'!L20</f>
        <v>7</v>
      </c>
      <c r="M20" s="17">
        <f>'[6]DP8 CAIHUASI S1'!M20+'[6]DP6 CAIHUASI S2'!M20</f>
        <v>0</v>
      </c>
      <c r="N20" s="17">
        <f>'[6]DP8 CAIHUASI S1'!N20+'[6]DP6 CAIHUASI S2'!N20</f>
        <v>0</v>
      </c>
      <c r="O20" s="17">
        <f t="shared" si="0"/>
        <v>124</v>
      </c>
      <c r="P20" s="18">
        <f t="shared" si="1"/>
        <v>3.3369214208826693E-2</v>
      </c>
    </row>
    <row r="21" spans="1:16" ht="17.25" customHeight="1" x14ac:dyDescent="0.25">
      <c r="A21" s="19" t="s">
        <v>36</v>
      </c>
      <c r="B21" s="17">
        <f>'[6]DP8 CAIHUASI S1'!B21+'[6]DP6 CAIHUASI S2'!B21</f>
        <v>36</v>
      </c>
      <c r="C21" s="17">
        <f>'[6]DP8 CAIHUASI S1'!C21+'[6]DP6 CAIHUASI S2'!C21</f>
        <v>7</v>
      </c>
      <c r="D21" s="17">
        <f>'[6]DP8 CAIHUASI S1'!D21+'[6]DP6 CAIHUASI S2'!D21</f>
        <v>14</v>
      </c>
      <c r="E21" s="17">
        <f>'[6]DP8 CAIHUASI S1'!E21+'[6]DP6 CAIHUASI S2'!E21</f>
        <v>0</v>
      </c>
      <c r="F21" s="17">
        <f>'[6]DP8 CAIHUASI S1'!F21+'[6]DP6 CAIHUASI S2'!F21</f>
        <v>2</v>
      </c>
      <c r="G21" s="17">
        <f>'[6]DP8 CAIHUASI S1'!G21+'[6]DP6 CAIHUASI S2'!G21</f>
        <v>18</v>
      </c>
      <c r="H21" s="17">
        <f>'[6]DP8 CAIHUASI S1'!H21+'[6]DP6 CAIHUASI S2'!H21</f>
        <v>3</v>
      </c>
      <c r="I21" s="17">
        <f>'[6]DP8 CAIHUASI S1'!I21+'[6]DP6 CAIHUASI S2'!I21</f>
        <v>6</v>
      </c>
      <c r="J21" s="17">
        <f>'[6]DP8 CAIHUASI S1'!J21+'[6]DP6 CAIHUASI S2'!J21</f>
        <v>10</v>
      </c>
      <c r="K21" s="17">
        <f>'[6]DP8 CAIHUASI S1'!K21+'[6]DP6 CAIHUASI S2'!K21</f>
        <v>17</v>
      </c>
      <c r="L21" s="17">
        <f>'[6]DP8 CAIHUASI S1'!L21+'[6]DP6 CAIHUASI S2'!L21</f>
        <v>1</v>
      </c>
      <c r="M21" s="17">
        <f>'[6]DP8 CAIHUASI S1'!M21+'[6]DP6 CAIHUASI S2'!M21</f>
        <v>0</v>
      </c>
      <c r="N21" s="17">
        <f>'[6]DP8 CAIHUASI S1'!N21+'[6]DP6 CAIHUASI S2'!N21</f>
        <v>0</v>
      </c>
      <c r="O21" s="17">
        <f t="shared" si="0"/>
        <v>114</v>
      </c>
      <c r="P21" s="18">
        <f t="shared" si="1"/>
        <v>3.0678148546824543E-2</v>
      </c>
    </row>
    <row r="22" spans="1:16" ht="17.25" customHeight="1" x14ac:dyDescent="0.25">
      <c r="A22" s="19" t="s">
        <v>37</v>
      </c>
      <c r="B22" s="17">
        <f>'[6]DP8 CAIHUASI S1'!B22+'[6]DP6 CAIHUASI S2'!B22</f>
        <v>39</v>
      </c>
      <c r="C22" s="17">
        <f>'[6]DP8 CAIHUASI S1'!C22+'[6]DP6 CAIHUASI S2'!C22</f>
        <v>4</v>
      </c>
      <c r="D22" s="17">
        <f>'[6]DP8 CAIHUASI S1'!D22+'[6]DP6 CAIHUASI S2'!D22</f>
        <v>9</v>
      </c>
      <c r="E22" s="17">
        <f>'[6]DP8 CAIHUASI S1'!E22+'[6]DP6 CAIHUASI S2'!E22</f>
        <v>2</v>
      </c>
      <c r="F22" s="17">
        <f>'[6]DP8 CAIHUASI S1'!F22+'[6]DP6 CAIHUASI S2'!F22</f>
        <v>4</v>
      </c>
      <c r="G22" s="17">
        <f>'[6]DP8 CAIHUASI S1'!G22+'[6]DP6 CAIHUASI S2'!G22</f>
        <v>22</v>
      </c>
      <c r="H22" s="17">
        <f>'[6]DP8 CAIHUASI S1'!H22+'[6]DP6 CAIHUASI S2'!H22</f>
        <v>2</v>
      </c>
      <c r="I22" s="17">
        <f>'[6]DP8 CAIHUASI S1'!I22+'[6]DP6 CAIHUASI S2'!I22</f>
        <v>7</v>
      </c>
      <c r="J22" s="17">
        <f>'[6]DP8 CAIHUASI S1'!J22+'[6]DP6 CAIHUASI S2'!J22</f>
        <v>19</v>
      </c>
      <c r="K22" s="17">
        <f>'[6]DP8 CAIHUASI S1'!K22+'[6]DP6 CAIHUASI S2'!K22</f>
        <v>27</v>
      </c>
      <c r="L22" s="17">
        <f>'[6]DP8 CAIHUASI S1'!L22+'[6]DP6 CAIHUASI S2'!L22</f>
        <v>7</v>
      </c>
      <c r="M22" s="17">
        <f>'[6]DP8 CAIHUASI S1'!M22+'[6]DP6 CAIHUASI S2'!M22</f>
        <v>14</v>
      </c>
      <c r="N22" s="17">
        <f>'[6]DP8 CAIHUASI S1'!N22+'[6]DP6 CAIHUASI S2'!N22</f>
        <v>0</v>
      </c>
      <c r="O22" s="17">
        <f t="shared" si="0"/>
        <v>156</v>
      </c>
      <c r="P22" s="18">
        <f t="shared" si="1"/>
        <v>4.1980624327233582E-2</v>
      </c>
    </row>
    <row r="23" spans="1:16" ht="17.25" customHeight="1" x14ac:dyDescent="0.25">
      <c r="A23" s="19" t="s">
        <v>38</v>
      </c>
      <c r="B23" s="17">
        <f>'[6]DP8 CAIHUASI S1'!B23+'[6]DP6 CAIHUASI S2'!B23</f>
        <v>30</v>
      </c>
      <c r="C23" s="17">
        <f>'[6]DP8 CAIHUASI S1'!C23+'[6]DP6 CAIHUASI S2'!C23</f>
        <v>10</v>
      </c>
      <c r="D23" s="17">
        <f>'[6]DP8 CAIHUASI S1'!D23+'[6]DP6 CAIHUASI S2'!D23</f>
        <v>36</v>
      </c>
      <c r="E23" s="17">
        <f>'[6]DP8 CAIHUASI S1'!E23+'[6]DP6 CAIHUASI S2'!E23</f>
        <v>0</v>
      </c>
      <c r="F23" s="17">
        <f>'[6]DP8 CAIHUASI S1'!F23+'[6]DP6 CAIHUASI S2'!F23</f>
        <v>6</v>
      </c>
      <c r="G23" s="17">
        <f>'[6]DP8 CAIHUASI S1'!G23+'[6]DP6 CAIHUASI S2'!G23</f>
        <v>26</v>
      </c>
      <c r="H23" s="17">
        <f>'[6]DP8 CAIHUASI S1'!H23+'[6]DP6 CAIHUASI S2'!H23</f>
        <v>0</v>
      </c>
      <c r="I23" s="17">
        <f>'[6]DP8 CAIHUASI S1'!I23+'[6]DP6 CAIHUASI S2'!I23</f>
        <v>8</v>
      </c>
      <c r="J23" s="17">
        <f>'[6]DP8 CAIHUASI S1'!J23+'[6]DP6 CAIHUASI S2'!J23</f>
        <v>24</v>
      </c>
      <c r="K23" s="17">
        <f>'[6]DP8 CAIHUASI S1'!K23+'[6]DP6 CAIHUASI S2'!K23</f>
        <v>17</v>
      </c>
      <c r="L23" s="17">
        <f>'[6]DP8 CAIHUASI S1'!L23+'[6]DP6 CAIHUASI S2'!L23</f>
        <v>6</v>
      </c>
      <c r="M23" s="17">
        <f>'[6]DP8 CAIHUASI S1'!M23+'[6]DP6 CAIHUASI S2'!M23</f>
        <v>0</v>
      </c>
      <c r="N23" s="17">
        <f>'[6]DP8 CAIHUASI S1'!N23+'[6]DP6 CAIHUASI S2'!N23</f>
        <v>0</v>
      </c>
      <c r="O23" s="17">
        <f t="shared" si="0"/>
        <v>163</v>
      </c>
      <c r="P23" s="18">
        <f t="shared" si="1"/>
        <v>4.3864370290635092E-2</v>
      </c>
    </row>
    <row r="24" spans="1:16" ht="17.25" customHeight="1" x14ac:dyDescent="0.25">
      <c r="A24" s="19" t="s">
        <v>39</v>
      </c>
      <c r="B24" s="17">
        <f>'[6]DP8 CAIHUASI S1'!B24+'[6]DP6 CAIHUASI S2'!B24</f>
        <v>30</v>
      </c>
      <c r="C24" s="17">
        <f>'[6]DP8 CAIHUASI S1'!C24+'[6]DP6 CAIHUASI S2'!C24</f>
        <v>14</v>
      </c>
      <c r="D24" s="17">
        <f>'[6]DP8 CAIHUASI S1'!D24+'[6]DP6 CAIHUASI S2'!D24</f>
        <v>37</v>
      </c>
      <c r="E24" s="17">
        <f>'[6]DP8 CAIHUASI S1'!E24+'[6]DP6 CAIHUASI S2'!E24</f>
        <v>0</v>
      </c>
      <c r="F24" s="17">
        <f>'[6]DP8 CAIHUASI S1'!F24+'[6]DP6 CAIHUASI S2'!F24</f>
        <v>4</v>
      </c>
      <c r="G24" s="17">
        <f>'[6]DP8 CAIHUASI S1'!G24+'[6]DP6 CAIHUASI S2'!G24</f>
        <v>28</v>
      </c>
      <c r="H24" s="17">
        <f>'[6]DP8 CAIHUASI S1'!H24+'[6]DP6 CAIHUASI S2'!H24</f>
        <v>1</v>
      </c>
      <c r="I24" s="17">
        <f>'[6]DP8 CAIHUASI S1'!I24+'[6]DP6 CAIHUASI S2'!I24</f>
        <v>9</v>
      </c>
      <c r="J24" s="17">
        <f>'[6]DP8 CAIHUASI S1'!J24+'[6]DP6 CAIHUASI S2'!J24</f>
        <v>29</v>
      </c>
      <c r="K24" s="17">
        <f>'[6]DP8 CAIHUASI S1'!K24+'[6]DP6 CAIHUASI S2'!K24</f>
        <v>27</v>
      </c>
      <c r="L24" s="17">
        <f>'[6]DP8 CAIHUASI S1'!L24+'[6]DP6 CAIHUASI S2'!L24</f>
        <v>8</v>
      </c>
      <c r="M24" s="17">
        <f>'[6]DP8 CAIHUASI S1'!M24+'[6]DP6 CAIHUASI S2'!M24</f>
        <v>0</v>
      </c>
      <c r="N24" s="17">
        <f>'[6]DP8 CAIHUASI S1'!N24+'[6]DP6 CAIHUASI S2'!N24</f>
        <v>0</v>
      </c>
      <c r="O24" s="17">
        <f t="shared" si="0"/>
        <v>187</v>
      </c>
      <c r="P24" s="18">
        <f t="shared" si="1"/>
        <v>5.032292787944026E-2</v>
      </c>
    </row>
    <row r="25" spans="1:16" ht="17.25" customHeight="1" x14ac:dyDescent="0.25">
      <c r="A25" s="19" t="s">
        <v>40</v>
      </c>
      <c r="B25" s="17">
        <f>'[6]DP8 CAIHUASI S1'!B25+'[6]DP6 CAIHUASI S2'!B25</f>
        <v>27</v>
      </c>
      <c r="C25" s="17">
        <f>'[6]DP8 CAIHUASI S1'!C25+'[6]DP6 CAIHUASI S2'!C25</f>
        <v>10</v>
      </c>
      <c r="D25" s="17">
        <f>'[6]DP8 CAIHUASI S1'!D25+'[6]DP6 CAIHUASI S2'!D25</f>
        <v>30</v>
      </c>
      <c r="E25" s="17">
        <f>'[6]DP8 CAIHUASI S1'!E25+'[6]DP6 CAIHUASI S2'!E25</f>
        <v>0</v>
      </c>
      <c r="F25" s="17">
        <f>'[6]DP8 CAIHUASI S1'!F25+'[6]DP6 CAIHUASI S2'!F25</f>
        <v>5</v>
      </c>
      <c r="G25" s="17">
        <f>'[6]DP8 CAIHUASI S1'!G25+'[6]DP6 CAIHUASI S2'!G25</f>
        <v>34</v>
      </c>
      <c r="H25" s="17">
        <f>'[6]DP8 CAIHUASI S1'!H25+'[6]DP6 CAIHUASI S2'!H25</f>
        <v>1</v>
      </c>
      <c r="I25" s="17">
        <f>'[6]DP8 CAIHUASI S1'!I25+'[6]DP6 CAIHUASI S2'!I25</f>
        <v>7</v>
      </c>
      <c r="J25" s="17">
        <f>'[6]DP8 CAIHUASI S1'!J25+'[6]DP6 CAIHUASI S2'!J25</f>
        <v>28</v>
      </c>
      <c r="K25" s="17">
        <f>'[6]DP8 CAIHUASI S1'!K25+'[6]DP6 CAIHUASI S2'!K25</f>
        <v>27</v>
      </c>
      <c r="L25" s="17">
        <f>'[6]DP8 CAIHUASI S1'!L25+'[6]DP6 CAIHUASI S2'!L25</f>
        <v>5</v>
      </c>
      <c r="M25" s="17">
        <f>'[6]DP8 CAIHUASI S1'!M25+'[6]DP6 CAIHUASI S2'!M25</f>
        <v>0</v>
      </c>
      <c r="N25" s="17">
        <f>'[6]DP8 CAIHUASI S1'!N25+'[6]DP6 CAIHUASI S2'!N25</f>
        <v>0</v>
      </c>
      <c r="O25" s="17">
        <f t="shared" si="0"/>
        <v>174</v>
      </c>
      <c r="P25" s="18">
        <f t="shared" si="1"/>
        <v>4.6824542518837463E-2</v>
      </c>
    </row>
    <row r="26" spans="1:16" ht="17.25" customHeight="1" x14ac:dyDescent="0.25">
      <c r="A26" s="19" t="s">
        <v>41</v>
      </c>
      <c r="B26" s="17">
        <f>'[6]DP8 CAIHUASI S1'!B26+'[6]DP6 CAIHUASI S2'!B26</f>
        <v>48</v>
      </c>
      <c r="C26" s="17">
        <f>'[6]DP8 CAIHUASI S1'!C26+'[6]DP6 CAIHUASI S2'!C26</f>
        <v>7</v>
      </c>
      <c r="D26" s="17">
        <f>'[6]DP8 CAIHUASI S1'!D26+'[6]DP6 CAIHUASI S2'!D26</f>
        <v>45</v>
      </c>
      <c r="E26" s="17">
        <f>'[6]DP8 CAIHUASI S1'!E26+'[6]DP6 CAIHUASI S2'!E26</f>
        <v>0</v>
      </c>
      <c r="F26" s="17">
        <f>'[6]DP8 CAIHUASI S1'!F26+'[6]DP6 CAIHUASI S2'!F26</f>
        <v>2</v>
      </c>
      <c r="G26" s="17">
        <f>'[6]DP8 CAIHUASI S1'!G26+'[6]DP6 CAIHUASI S2'!G26</f>
        <v>31</v>
      </c>
      <c r="H26" s="17">
        <f>'[6]DP8 CAIHUASI S1'!H26+'[6]DP6 CAIHUASI S2'!H26</f>
        <v>5</v>
      </c>
      <c r="I26" s="17">
        <f>'[6]DP8 CAIHUASI S1'!I26+'[6]DP6 CAIHUASI S2'!I26</f>
        <v>14</v>
      </c>
      <c r="J26" s="17">
        <f>'[6]DP8 CAIHUASI S1'!J26+'[6]DP6 CAIHUASI S2'!J26</f>
        <v>27</v>
      </c>
      <c r="K26" s="17">
        <f>'[6]DP8 CAIHUASI S1'!K26+'[6]DP6 CAIHUASI S2'!K26</f>
        <v>26</v>
      </c>
      <c r="L26" s="17">
        <f>'[6]DP8 CAIHUASI S1'!L26+'[6]DP6 CAIHUASI S2'!L26</f>
        <v>12</v>
      </c>
      <c r="M26" s="17">
        <f>'[6]DP8 CAIHUASI S1'!M26+'[6]DP6 CAIHUASI S2'!M26</f>
        <v>1</v>
      </c>
      <c r="N26" s="17">
        <f>'[6]DP8 CAIHUASI S1'!N26+'[6]DP6 CAIHUASI S2'!N26</f>
        <v>0</v>
      </c>
      <c r="O26" s="17">
        <f t="shared" si="0"/>
        <v>218</v>
      </c>
      <c r="P26" s="18">
        <f t="shared" si="1"/>
        <v>5.8665231431646932E-2</v>
      </c>
    </row>
    <row r="27" spans="1:16" ht="17.25" customHeight="1" x14ac:dyDescent="0.25">
      <c r="A27" s="19" t="s">
        <v>42</v>
      </c>
      <c r="B27" s="17">
        <f>'[6]DP8 CAIHUASI S1'!B27+'[6]DP6 CAIHUASI S2'!B27</f>
        <v>47</v>
      </c>
      <c r="C27" s="17">
        <f>'[6]DP8 CAIHUASI S1'!C27+'[6]DP6 CAIHUASI S2'!C27</f>
        <v>4</v>
      </c>
      <c r="D27" s="17">
        <f>'[6]DP8 CAIHUASI S1'!D27+'[6]DP6 CAIHUASI S2'!D27</f>
        <v>41</v>
      </c>
      <c r="E27" s="17">
        <f>'[6]DP8 CAIHUASI S1'!E27+'[6]DP6 CAIHUASI S2'!E27</f>
        <v>0</v>
      </c>
      <c r="F27" s="17">
        <f>'[6]DP8 CAIHUASI S1'!F27+'[6]DP6 CAIHUASI S2'!F27</f>
        <v>1</v>
      </c>
      <c r="G27" s="17">
        <f>'[6]DP8 CAIHUASI S1'!G27+'[6]DP6 CAIHUASI S2'!G27</f>
        <v>39</v>
      </c>
      <c r="H27" s="17">
        <f>'[6]DP8 CAIHUASI S1'!H27+'[6]DP6 CAIHUASI S2'!H27</f>
        <v>6</v>
      </c>
      <c r="I27" s="17">
        <f>'[6]DP8 CAIHUASI S1'!I27+'[6]DP6 CAIHUASI S2'!I27</f>
        <v>22</v>
      </c>
      <c r="J27" s="17">
        <f>'[6]DP8 CAIHUASI S1'!J27+'[6]DP6 CAIHUASI S2'!J27</f>
        <v>19</v>
      </c>
      <c r="K27" s="17">
        <f>'[6]DP8 CAIHUASI S1'!K27+'[6]DP6 CAIHUASI S2'!K27</f>
        <v>39</v>
      </c>
      <c r="L27" s="17">
        <f>'[6]DP8 CAIHUASI S1'!L27+'[6]DP6 CAIHUASI S2'!L27</f>
        <v>9</v>
      </c>
      <c r="M27" s="17">
        <f>'[6]DP8 CAIHUASI S1'!M27+'[6]DP6 CAIHUASI S2'!M27</f>
        <v>1</v>
      </c>
      <c r="N27" s="17">
        <f>'[6]DP8 CAIHUASI S1'!N27+'[6]DP6 CAIHUASI S2'!N27</f>
        <v>0</v>
      </c>
      <c r="O27" s="17">
        <f t="shared" si="0"/>
        <v>228</v>
      </c>
      <c r="P27" s="18">
        <f t="shared" si="1"/>
        <v>6.1356297093649086E-2</v>
      </c>
    </row>
    <row r="28" spans="1:16" ht="17.25" customHeight="1" x14ac:dyDescent="0.25">
      <c r="A28" s="19" t="s">
        <v>43</v>
      </c>
      <c r="B28" s="17">
        <f>'[6]DP8 CAIHUASI S1'!B28+'[6]DP6 CAIHUASI S2'!B28</f>
        <v>50</v>
      </c>
      <c r="C28" s="17">
        <f>'[6]DP8 CAIHUASI S1'!C28+'[6]DP6 CAIHUASI S2'!C28</f>
        <v>7</v>
      </c>
      <c r="D28" s="17">
        <f>'[6]DP8 CAIHUASI S1'!D28+'[6]DP6 CAIHUASI S2'!D28</f>
        <v>35</v>
      </c>
      <c r="E28" s="17">
        <f>'[6]DP8 CAIHUASI S1'!E28+'[6]DP6 CAIHUASI S2'!E28</f>
        <v>0</v>
      </c>
      <c r="F28" s="17">
        <f>'[6]DP8 CAIHUASI S1'!F28+'[6]DP6 CAIHUASI S2'!F28</f>
        <v>3</v>
      </c>
      <c r="G28" s="17">
        <f>'[6]DP8 CAIHUASI S1'!G28+'[6]DP6 CAIHUASI S2'!G28</f>
        <v>21</v>
      </c>
      <c r="H28" s="17">
        <f>'[6]DP8 CAIHUASI S1'!H28+'[6]DP6 CAIHUASI S2'!H28</f>
        <v>5</v>
      </c>
      <c r="I28" s="17">
        <f>'[6]DP8 CAIHUASI S1'!I28+'[6]DP6 CAIHUASI S2'!I28</f>
        <v>18</v>
      </c>
      <c r="J28" s="17">
        <f>'[6]DP8 CAIHUASI S1'!J28+'[6]DP6 CAIHUASI S2'!J28</f>
        <v>21</v>
      </c>
      <c r="K28" s="17">
        <f>'[6]DP8 CAIHUASI S1'!K28+'[6]DP6 CAIHUASI S2'!K28</f>
        <v>25</v>
      </c>
      <c r="L28" s="17">
        <f>'[6]DP8 CAIHUASI S1'!L28+'[6]DP6 CAIHUASI S2'!L28</f>
        <v>15</v>
      </c>
      <c r="M28" s="17">
        <f>'[6]DP8 CAIHUASI S1'!M28+'[6]DP6 CAIHUASI S2'!M28</f>
        <v>0</v>
      </c>
      <c r="N28" s="17">
        <f>'[6]DP8 CAIHUASI S1'!N28+'[6]DP6 CAIHUASI S2'!N28</f>
        <v>0</v>
      </c>
      <c r="O28" s="17">
        <f t="shared" si="0"/>
        <v>200</v>
      </c>
      <c r="P28" s="18">
        <f t="shared" si="1"/>
        <v>5.3821313240043057E-2</v>
      </c>
    </row>
    <row r="29" spans="1:16" ht="17.25" customHeight="1" x14ac:dyDescent="0.25">
      <c r="A29" s="19" t="s">
        <v>44</v>
      </c>
      <c r="B29" s="17">
        <f>'[6]DP8 CAIHUASI S1'!B29+'[6]DP6 CAIHUASI S2'!B29</f>
        <v>34</v>
      </c>
      <c r="C29" s="17">
        <f>'[6]DP8 CAIHUASI S1'!C29+'[6]DP6 CAIHUASI S2'!C29</f>
        <v>7</v>
      </c>
      <c r="D29" s="17">
        <f>'[6]DP8 CAIHUASI S1'!D29+'[6]DP6 CAIHUASI S2'!D29</f>
        <v>10</v>
      </c>
      <c r="E29" s="17">
        <f>'[6]DP8 CAIHUASI S1'!E29+'[6]DP6 CAIHUASI S2'!E29</f>
        <v>0</v>
      </c>
      <c r="F29" s="17">
        <f>'[6]DP8 CAIHUASI S1'!F29+'[6]DP6 CAIHUASI S2'!F29</f>
        <v>2</v>
      </c>
      <c r="G29" s="17">
        <f>'[6]DP8 CAIHUASI S1'!G29+'[6]DP6 CAIHUASI S2'!G29</f>
        <v>13</v>
      </c>
      <c r="H29" s="17">
        <f>'[6]DP8 CAIHUASI S1'!H29+'[6]DP6 CAIHUASI S2'!H29</f>
        <v>1</v>
      </c>
      <c r="I29" s="17">
        <f>'[6]DP8 CAIHUASI S1'!I29+'[6]DP6 CAIHUASI S2'!I29</f>
        <v>9</v>
      </c>
      <c r="J29" s="17">
        <f>'[6]DP8 CAIHUASI S1'!J29+'[6]DP6 CAIHUASI S2'!J29</f>
        <v>17</v>
      </c>
      <c r="K29" s="17">
        <f>'[6]DP8 CAIHUASI S1'!K29+'[6]DP6 CAIHUASI S2'!K29</f>
        <v>26</v>
      </c>
      <c r="L29" s="17">
        <f>'[6]DP8 CAIHUASI S1'!L29+'[6]DP6 CAIHUASI S2'!L29</f>
        <v>9</v>
      </c>
      <c r="M29" s="17">
        <f>'[6]DP8 CAIHUASI S1'!M29+'[6]DP6 CAIHUASI S2'!M29</f>
        <v>0</v>
      </c>
      <c r="N29" s="17">
        <f>'[6]DP8 CAIHUASI S1'!N29+'[6]DP6 CAIHUASI S2'!N29</f>
        <v>0</v>
      </c>
      <c r="O29" s="17">
        <f t="shared" si="0"/>
        <v>128</v>
      </c>
      <c r="P29" s="18">
        <f t="shared" si="1"/>
        <v>3.4445640473627553E-2</v>
      </c>
    </row>
    <row r="30" spans="1:16" ht="17.25" customHeight="1" x14ac:dyDescent="0.25">
      <c r="A30" s="19" t="s">
        <v>45</v>
      </c>
      <c r="B30" s="17">
        <f>'[6]DP8 CAIHUASI S1'!B30+'[6]DP6 CAIHUASI S2'!B30</f>
        <v>38</v>
      </c>
      <c r="C30" s="17">
        <f>'[6]DP8 CAIHUASI S1'!C30+'[6]DP6 CAIHUASI S2'!C30</f>
        <v>7</v>
      </c>
      <c r="D30" s="17">
        <f>'[6]DP8 CAIHUASI S1'!D30+'[6]DP6 CAIHUASI S2'!D30</f>
        <v>21</v>
      </c>
      <c r="E30" s="17">
        <f>'[6]DP8 CAIHUASI S1'!E30+'[6]DP6 CAIHUASI S2'!E30</f>
        <v>0</v>
      </c>
      <c r="F30" s="17">
        <f>'[6]DP8 CAIHUASI S1'!F30+'[6]DP6 CAIHUASI S2'!F30</f>
        <v>4</v>
      </c>
      <c r="G30" s="17">
        <f>'[6]DP8 CAIHUASI S1'!G30+'[6]DP6 CAIHUASI S2'!G30</f>
        <v>42</v>
      </c>
      <c r="H30" s="17">
        <f>'[6]DP8 CAIHUASI S1'!H30+'[6]DP6 CAIHUASI S2'!H30</f>
        <v>3</v>
      </c>
      <c r="I30" s="17">
        <f>'[6]DP8 CAIHUASI S1'!I30+'[6]DP6 CAIHUASI S2'!I30</f>
        <v>17</v>
      </c>
      <c r="J30" s="17">
        <f>'[6]DP8 CAIHUASI S1'!J30+'[6]DP6 CAIHUASI S2'!J30</f>
        <v>27</v>
      </c>
      <c r="K30" s="17">
        <f>'[6]DP8 CAIHUASI S1'!K30+'[6]DP6 CAIHUASI S2'!K30</f>
        <v>37</v>
      </c>
      <c r="L30" s="17">
        <f>'[6]DP8 CAIHUASI S1'!L30+'[6]DP6 CAIHUASI S2'!L30</f>
        <v>11</v>
      </c>
      <c r="M30" s="17">
        <f>'[6]DP8 CAIHUASI S1'!M30+'[6]DP6 CAIHUASI S2'!M30</f>
        <v>0</v>
      </c>
      <c r="N30" s="17">
        <f>'[6]DP8 CAIHUASI S1'!N30+'[6]DP6 CAIHUASI S2'!N30</f>
        <v>0</v>
      </c>
      <c r="O30" s="17">
        <f t="shared" si="0"/>
        <v>207</v>
      </c>
      <c r="P30" s="18">
        <f t="shared" si="1"/>
        <v>5.5705059203444561E-2</v>
      </c>
    </row>
    <row r="31" spans="1:16" ht="17.25" customHeight="1" x14ac:dyDescent="0.25">
      <c r="A31" s="19" t="s">
        <v>46</v>
      </c>
      <c r="B31" s="17">
        <f>'[6]DP8 CAIHUASI S1'!B31+'[6]DP6 CAIHUASI S2'!B31</f>
        <v>30</v>
      </c>
      <c r="C31" s="17">
        <f>'[6]DP8 CAIHUASI S1'!C31+'[6]DP6 CAIHUASI S2'!C31</f>
        <v>7</v>
      </c>
      <c r="D31" s="17">
        <f>'[6]DP8 CAIHUASI S1'!D31+'[6]DP6 CAIHUASI S2'!D31</f>
        <v>28</v>
      </c>
      <c r="E31" s="17">
        <f>'[6]DP8 CAIHUASI S1'!E31+'[6]DP6 CAIHUASI S2'!E31</f>
        <v>0</v>
      </c>
      <c r="F31" s="17">
        <f>'[6]DP8 CAIHUASI S1'!F31+'[6]DP6 CAIHUASI S2'!F31</f>
        <v>4</v>
      </c>
      <c r="G31" s="17">
        <f>'[6]DP8 CAIHUASI S1'!G31+'[6]DP6 CAIHUASI S2'!G31</f>
        <v>39</v>
      </c>
      <c r="H31" s="17">
        <f>'[6]DP8 CAIHUASI S1'!H31+'[6]DP6 CAIHUASI S2'!H31</f>
        <v>5</v>
      </c>
      <c r="I31" s="17">
        <f>'[6]DP8 CAIHUASI S1'!I31+'[6]DP6 CAIHUASI S2'!I31</f>
        <v>12</v>
      </c>
      <c r="J31" s="17">
        <f>'[6]DP8 CAIHUASI S1'!J31+'[6]DP6 CAIHUASI S2'!J31</f>
        <v>29</v>
      </c>
      <c r="K31" s="17">
        <f>'[6]DP8 CAIHUASI S1'!K31+'[6]DP6 CAIHUASI S2'!K31</f>
        <v>28</v>
      </c>
      <c r="L31" s="17">
        <f>'[6]DP8 CAIHUASI S1'!L31+'[6]DP6 CAIHUASI S2'!L31</f>
        <v>8</v>
      </c>
      <c r="M31" s="17">
        <f>'[6]DP8 CAIHUASI S1'!M31+'[6]DP6 CAIHUASI S2'!M31</f>
        <v>0</v>
      </c>
      <c r="N31" s="17">
        <f>'[6]DP8 CAIHUASI S1'!N31+'[6]DP6 CAIHUASI S2'!N31</f>
        <v>0</v>
      </c>
      <c r="O31" s="17">
        <f t="shared" si="0"/>
        <v>190</v>
      </c>
      <c r="P31" s="18">
        <f t="shared" si="1"/>
        <v>5.1130247578040904E-2</v>
      </c>
    </row>
    <row r="32" spans="1:16" ht="17.25" customHeight="1" x14ac:dyDescent="0.25">
      <c r="A32" s="28" t="s">
        <v>47</v>
      </c>
      <c r="B32" s="29">
        <f>'[6]DP8 CAIHUASI S1'!B32+'[6]DP6 CAIHUASI S2'!B32</f>
        <v>34</v>
      </c>
      <c r="C32" s="29">
        <f>'[6]DP8 CAIHUASI S1'!C32+'[6]DP6 CAIHUASI S2'!C32</f>
        <v>10</v>
      </c>
      <c r="D32" s="29">
        <f>'[6]DP8 CAIHUASI S1'!D32+'[6]DP6 CAIHUASI S2'!D32</f>
        <v>34</v>
      </c>
      <c r="E32" s="29">
        <f>'[6]DP8 CAIHUASI S1'!E32+'[6]DP6 CAIHUASI S2'!E32</f>
        <v>0</v>
      </c>
      <c r="F32" s="29">
        <f>'[6]DP8 CAIHUASI S1'!F32+'[6]DP6 CAIHUASI S2'!F32</f>
        <v>13</v>
      </c>
      <c r="G32" s="29">
        <f>'[6]DP8 CAIHUASI S1'!G32+'[6]DP6 CAIHUASI S2'!G32</f>
        <v>31</v>
      </c>
      <c r="H32" s="29">
        <f>'[6]DP8 CAIHUASI S1'!H32+'[6]DP6 CAIHUASI S2'!H32</f>
        <v>4</v>
      </c>
      <c r="I32" s="29">
        <f>'[6]DP8 CAIHUASI S1'!I32+'[6]DP6 CAIHUASI S2'!I32</f>
        <v>17</v>
      </c>
      <c r="J32" s="29">
        <f>'[6]DP8 CAIHUASI S1'!J32+'[6]DP6 CAIHUASI S2'!J32</f>
        <v>42</v>
      </c>
      <c r="K32" s="29">
        <f>'[6]DP8 CAIHUASI S1'!K32+'[6]DP6 CAIHUASI S2'!K32</f>
        <v>33</v>
      </c>
      <c r="L32" s="29">
        <f>'[6]DP8 CAIHUASI S1'!L32+'[6]DP6 CAIHUASI S2'!L32</f>
        <v>12</v>
      </c>
      <c r="M32" s="29">
        <f>'[6]DP8 CAIHUASI S1'!M32+'[6]DP6 CAIHUASI S2'!M32</f>
        <v>0</v>
      </c>
      <c r="N32" s="29">
        <f>'[6]DP8 CAIHUASI S1'!N32+'[6]DP6 CAIHUASI S2'!N32</f>
        <v>0</v>
      </c>
      <c r="O32" s="29">
        <f t="shared" si="0"/>
        <v>230</v>
      </c>
      <c r="P32" s="30">
        <f t="shared" si="1"/>
        <v>6.1894510226049512E-2</v>
      </c>
    </row>
    <row r="33" spans="1:16" ht="17.25" customHeight="1" x14ac:dyDescent="0.25">
      <c r="A33" s="19" t="s">
        <v>48</v>
      </c>
      <c r="B33" s="17">
        <f>'[6]DP8 CAIHUASI S1'!B33+'[6]DP6 CAIHUASI S2'!B33</f>
        <v>36</v>
      </c>
      <c r="C33" s="17">
        <f>'[6]DP8 CAIHUASI S1'!C33+'[6]DP6 CAIHUASI S2'!C33</f>
        <v>8</v>
      </c>
      <c r="D33" s="17">
        <f>'[6]DP8 CAIHUASI S1'!D33+'[6]DP6 CAIHUASI S2'!D33</f>
        <v>26</v>
      </c>
      <c r="E33" s="17">
        <f>'[6]DP8 CAIHUASI S1'!E33+'[6]DP6 CAIHUASI S2'!E33</f>
        <v>0</v>
      </c>
      <c r="F33" s="17">
        <f>'[6]DP8 CAIHUASI S1'!F33+'[6]DP6 CAIHUASI S2'!F33</f>
        <v>4</v>
      </c>
      <c r="G33" s="17">
        <f>'[6]DP8 CAIHUASI S1'!G33+'[6]DP6 CAIHUASI S2'!G33</f>
        <v>34</v>
      </c>
      <c r="H33" s="17">
        <f>'[6]DP8 CAIHUASI S1'!H33+'[6]DP6 CAIHUASI S2'!H33</f>
        <v>1</v>
      </c>
      <c r="I33" s="17">
        <f>'[6]DP8 CAIHUASI S1'!I33+'[6]DP6 CAIHUASI S2'!I33</f>
        <v>11</v>
      </c>
      <c r="J33" s="17">
        <f>'[6]DP8 CAIHUASI S1'!J33+'[6]DP6 CAIHUASI S2'!J33</f>
        <v>36</v>
      </c>
      <c r="K33" s="17">
        <f>'[6]DP8 CAIHUASI S1'!K33+'[6]DP6 CAIHUASI S2'!K33</f>
        <v>35</v>
      </c>
      <c r="L33" s="17">
        <f>'[6]DP8 CAIHUASI S1'!L33+'[6]DP6 CAIHUASI S2'!L33</f>
        <v>11</v>
      </c>
      <c r="M33" s="17">
        <f>'[6]DP8 CAIHUASI S1'!M33+'[6]DP6 CAIHUASI S2'!M33</f>
        <v>0</v>
      </c>
      <c r="N33" s="17">
        <f>'[6]DP8 CAIHUASI S1'!N33+'[6]DP6 CAIHUASI S2'!N33</f>
        <v>0</v>
      </c>
      <c r="O33" s="17">
        <f t="shared" si="0"/>
        <v>202</v>
      </c>
      <c r="P33" s="18">
        <f t="shared" si="1"/>
        <v>5.4359526372443491E-2</v>
      </c>
    </row>
    <row r="34" spans="1:16" ht="17.25" customHeight="1" thickBot="1" x14ac:dyDescent="0.3">
      <c r="A34" s="20" t="s">
        <v>49</v>
      </c>
      <c r="B34" s="17">
        <f>'[6]DP8 CAIHUASI S1'!B34+'[6]DP6 CAIHUASI S2'!B34</f>
        <v>34</v>
      </c>
      <c r="C34" s="17">
        <f>'[6]DP8 CAIHUASI S1'!C34+'[6]DP6 CAIHUASI S2'!C34</f>
        <v>10</v>
      </c>
      <c r="D34" s="17">
        <f>'[6]DP8 CAIHUASI S1'!D34+'[6]DP6 CAIHUASI S2'!D34</f>
        <v>39</v>
      </c>
      <c r="E34" s="17">
        <f>'[6]DP8 CAIHUASI S1'!E34+'[6]DP6 CAIHUASI S2'!E34</f>
        <v>0</v>
      </c>
      <c r="F34" s="17">
        <f>'[6]DP8 CAIHUASI S1'!F34+'[6]DP6 CAIHUASI S2'!F34</f>
        <v>14</v>
      </c>
      <c r="G34" s="17">
        <f>'[6]DP8 CAIHUASI S1'!G34+'[6]DP6 CAIHUASI S2'!G34</f>
        <v>28</v>
      </c>
      <c r="H34" s="17">
        <f>'[6]DP8 CAIHUASI S1'!H34+'[6]DP6 CAIHUASI S2'!H34</f>
        <v>0</v>
      </c>
      <c r="I34" s="17">
        <f>'[6]DP8 CAIHUASI S1'!I34+'[6]DP6 CAIHUASI S2'!I34</f>
        <v>17</v>
      </c>
      <c r="J34" s="17">
        <f>'[6]DP8 CAIHUASI S1'!J34+'[6]DP6 CAIHUASI S2'!J34</f>
        <v>20</v>
      </c>
      <c r="K34" s="17">
        <f>'[6]DP8 CAIHUASI S1'!K34+'[6]DP6 CAIHUASI S2'!K34</f>
        <v>27</v>
      </c>
      <c r="L34" s="17">
        <f>'[6]DP8 CAIHUASI S1'!L34+'[6]DP6 CAIHUASI S2'!L34</f>
        <v>8</v>
      </c>
      <c r="M34" s="17">
        <f>'[6]DP8 CAIHUASI S1'!M34+'[6]DP6 CAIHUASI S2'!M34</f>
        <v>0</v>
      </c>
      <c r="N34" s="17">
        <f>'[6]DP8 CAIHUASI S1'!N34+'[6]DP6 CAIHUASI S2'!N34</f>
        <v>0</v>
      </c>
      <c r="O34" s="17">
        <f t="shared" si="0"/>
        <v>197</v>
      </c>
      <c r="P34" s="18">
        <f t="shared" si="1"/>
        <v>5.3013993541442414E-2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729</v>
      </c>
      <c r="C35" s="22">
        <f t="shared" si="2"/>
        <v>168</v>
      </c>
      <c r="D35" s="22">
        <f t="shared" si="2"/>
        <v>509</v>
      </c>
      <c r="E35" s="22">
        <f t="shared" si="2"/>
        <v>6</v>
      </c>
      <c r="F35" s="22">
        <f t="shared" si="2"/>
        <v>92</v>
      </c>
      <c r="G35" s="22">
        <f t="shared" si="2"/>
        <v>626</v>
      </c>
      <c r="H35" s="22">
        <f t="shared" si="2"/>
        <v>56</v>
      </c>
      <c r="I35" s="22">
        <f t="shared" si="2"/>
        <v>253</v>
      </c>
      <c r="J35" s="22">
        <f t="shared" si="2"/>
        <v>497</v>
      </c>
      <c r="K35" s="22">
        <f t="shared" si="2"/>
        <v>596</v>
      </c>
      <c r="L35" s="22">
        <f t="shared" si="2"/>
        <v>161</v>
      </c>
      <c r="M35" s="22">
        <f t="shared" si="2"/>
        <v>23</v>
      </c>
      <c r="N35" s="22">
        <f t="shared" si="2"/>
        <v>0</v>
      </c>
      <c r="O35" s="22">
        <f t="shared" si="2"/>
        <v>3716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0.19617868675995695</v>
      </c>
      <c r="C36" s="25">
        <f t="shared" si="3"/>
        <v>4.5209903121636169E-2</v>
      </c>
      <c r="D36" s="25">
        <f t="shared" si="3"/>
        <v>0.13697524219590959</v>
      </c>
      <c r="E36" s="25">
        <f t="shared" si="3"/>
        <v>1.6146393972012918E-3</v>
      </c>
      <c r="F36" s="25">
        <f t="shared" si="3"/>
        <v>2.4757804090419805E-2</v>
      </c>
      <c r="G36" s="25">
        <f t="shared" si="3"/>
        <v>0.16846071044133476</v>
      </c>
      <c r="H36" s="25">
        <f t="shared" si="3"/>
        <v>1.5069967707212056E-2</v>
      </c>
      <c r="I36" s="25">
        <f t="shared" si="3"/>
        <v>6.808396124865447E-2</v>
      </c>
      <c r="J36" s="25">
        <f t="shared" si="3"/>
        <v>0.13374596340150699</v>
      </c>
      <c r="K36" s="25">
        <f t="shared" si="3"/>
        <v>0.16038751345532831</v>
      </c>
      <c r="L36" s="25">
        <f t="shared" si="3"/>
        <v>4.3326157158234659E-2</v>
      </c>
      <c r="M36" s="25">
        <f t="shared" si="3"/>
        <v>6.1894510226049512E-3</v>
      </c>
      <c r="N36" s="25">
        <f t="shared" si="3"/>
        <v>0</v>
      </c>
      <c r="O36" s="25">
        <f>SUM(B36:N36)</f>
        <v>0.99999999999999989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7"/>
  <sheetViews>
    <sheetView topLeftCell="A11" workbookViewId="0">
      <selection activeCell="C36" activeCellId="3" sqref="P64 A11:A34 O11:O34 C36"/>
    </sheetView>
  </sheetViews>
  <sheetFormatPr baseColWidth="10" defaultColWidth="14.140625" defaultRowHeight="15" x14ac:dyDescent="0.25"/>
  <cols>
    <col min="1" max="1" width="7.140625" customWidth="1"/>
    <col min="2" max="3" width="6.5703125" customWidth="1"/>
    <col min="4" max="4" width="5.28515625" customWidth="1"/>
    <col min="5" max="11" width="6.5703125" customWidth="1"/>
    <col min="12" max="14" width="5.28515625" customWidth="1"/>
    <col min="15" max="15" width="6.85546875" bestFit="1" customWidth="1"/>
    <col min="16" max="16" width="6" bestFit="1" customWidth="1"/>
    <col min="17" max="17" width="1.28515625" customWidth="1"/>
    <col min="18" max="23" width="14.140625" customWidth="1"/>
    <col min="24" max="24" width="7.140625" customWidth="1"/>
    <col min="257" max="257" width="7.140625" customWidth="1"/>
    <col min="258" max="259" width="6.5703125" customWidth="1"/>
    <col min="260" max="260" width="5.28515625" customWidth="1"/>
    <col min="261" max="267" width="6.5703125" customWidth="1"/>
    <col min="268" max="270" width="5.28515625" customWidth="1"/>
    <col min="271" max="271" width="6.85546875" bestFit="1" customWidth="1"/>
    <col min="272" max="272" width="6" bestFit="1" customWidth="1"/>
    <col min="273" max="273" width="1.28515625" customWidth="1"/>
    <col min="274" max="279" width="14.140625" customWidth="1"/>
    <col min="280" max="280" width="7.140625" customWidth="1"/>
    <col min="513" max="513" width="7.140625" customWidth="1"/>
    <col min="514" max="515" width="6.5703125" customWidth="1"/>
    <col min="516" max="516" width="5.28515625" customWidth="1"/>
    <col min="517" max="523" width="6.5703125" customWidth="1"/>
    <col min="524" max="526" width="5.28515625" customWidth="1"/>
    <col min="527" max="527" width="6.85546875" bestFit="1" customWidth="1"/>
    <col min="528" max="528" width="6" bestFit="1" customWidth="1"/>
    <col min="529" max="529" width="1.28515625" customWidth="1"/>
    <col min="530" max="535" width="14.140625" customWidth="1"/>
    <col min="536" max="536" width="7.140625" customWidth="1"/>
    <col min="769" max="769" width="7.140625" customWidth="1"/>
    <col min="770" max="771" width="6.5703125" customWidth="1"/>
    <col min="772" max="772" width="5.28515625" customWidth="1"/>
    <col min="773" max="779" width="6.5703125" customWidth="1"/>
    <col min="780" max="782" width="5.28515625" customWidth="1"/>
    <col min="783" max="783" width="6.85546875" bestFit="1" customWidth="1"/>
    <col min="784" max="784" width="6" bestFit="1" customWidth="1"/>
    <col min="785" max="785" width="1.28515625" customWidth="1"/>
    <col min="786" max="791" width="14.140625" customWidth="1"/>
    <col min="792" max="792" width="7.140625" customWidth="1"/>
    <col min="1025" max="1025" width="7.140625" customWidth="1"/>
    <col min="1026" max="1027" width="6.5703125" customWidth="1"/>
    <col min="1028" max="1028" width="5.28515625" customWidth="1"/>
    <col min="1029" max="1035" width="6.5703125" customWidth="1"/>
    <col min="1036" max="1038" width="5.28515625" customWidth="1"/>
    <col min="1039" max="1039" width="6.85546875" bestFit="1" customWidth="1"/>
    <col min="1040" max="1040" width="6" bestFit="1" customWidth="1"/>
    <col min="1041" max="1041" width="1.28515625" customWidth="1"/>
    <col min="1042" max="1047" width="14.140625" customWidth="1"/>
    <col min="1048" max="1048" width="7.140625" customWidth="1"/>
    <col min="1281" max="1281" width="7.140625" customWidth="1"/>
    <col min="1282" max="1283" width="6.5703125" customWidth="1"/>
    <col min="1284" max="1284" width="5.28515625" customWidth="1"/>
    <col min="1285" max="1291" width="6.5703125" customWidth="1"/>
    <col min="1292" max="1294" width="5.28515625" customWidth="1"/>
    <col min="1295" max="1295" width="6.85546875" bestFit="1" customWidth="1"/>
    <col min="1296" max="1296" width="6" bestFit="1" customWidth="1"/>
    <col min="1297" max="1297" width="1.28515625" customWidth="1"/>
    <col min="1298" max="1303" width="14.140625" customWidth="1"/>
    <col min="1304" max="1304" width="7.140625" customWidth="1"/>
    <col min="1537" max="1537" width="7.140625" customWidth="1"/>
    <col min="1538" max="1539" width="6.5703125" customWidth="1"/>
    <col min="1540" max="1540" width="5.28515625" customWidth="1"/>
    <col min="1541" max="1547" width="6.5703125" customWidth="1"/>
    <col min="1548" max="1550" width="5.28515625" customWidth="1"/>
    <col min="1551" max="1551" width="6.85546875" bestFit="1" customWidth="1"/>
    <col min="1552" max="1552" width="6" bestFit="1" customWidth="1"/>
    <col min="1553" max="1553" width="1.28515625" customWidth="1"/>
    <col min="1554" max="1559" width="14.140625" customWidth="1"/>
    <col min="1560" max="1560" width="7.140625" customWidth="1"/>
    <col min="1793" max="1793" width="7.140625" customWidth="1"/>
    <col min="1794" max="1795" width="6.5703125" customWidth="1"/>
    <col min="1796" max="1796" width="5.28515625" customWidth="1"/>
    <col min="1797" max="1803" width="6.5703125" customWidth="1"/>
    <col min="1804" max="1806" width="5.28515625" customWidth="1"/>
    <col min="1807" max="1807" width="6.85546875" bestFit="1" customWidth="1"/>
    <col min="1808" max="1808" width="6" bestFit="1" customWidth="1"/>
    <col min="1809" max="1809" width="1.28515625" customWidth="1"/>
    <col min="1810" max="1815" width="14.140625" customWidth="1"/>
    <col min="1816" max="1816" width="7.140625" customWidth="1"/>
    <col min="2049" max="2049" width="7.140625" customWidth="1"/>
    <col min="2050" max="2051" width="6.5703125" customWidth="1"/>
    <col min="2052" max="2052" width="5.28515625" customWidth="1"/>
    <col min="2053" max="2059" width="6.5703125" customWidth="1"/>
    <col min="2060" max="2062" width="5.28515625" customWidth="1"/>
    <col min="2063" max="2063" width="6.85546875" bestFit="1" customWidth="1"/>
    <col min="2064" max="2064" width="6" bestFit="1" customWidth="1"/>
    <col min="2065" max="2065" width="1.28515625" customWidth="1"/>
    <col min="2066" max="2071" width="14.140625" customWidth="1"/>
    <col min="2072" max="2072" width="7.140625" customWidth="1"/>
    <col min="2305" max="2305" width="7.140625" customWidth="1"/>
    <col min="2306" max="2307" width="6.5703125" customWidth="1"/>
    <col min="2308" max="2308" width="5.28515625" customWidth="1"/>
    <col min="2309" max="2315" width="6.5703125" customWidth="1"/>
    <col min="2316" max="2318" width="5.28515625" customWidth="1"/>
    <col min="2319" max="2319" width="6.85546875" bestFit="1" customWidth="1"/>
    <col min="2320" max="2320" width="6" bestFit="1" customWidth="1"/>
    <col min="2321" max="2321" width="1.28515625" customWidth="1"/>
    <col min="2322" max="2327" width="14.140625" customWidth="1"/>
    <col min="2328" max="2328" width="7.140625" customWidth="1"/>
    <col min="2561" max="2561" width="7.140625" customWidth="1"/>
    <col min="2562" max="2563" width="6.5703125" customWidth="1"/>
    <col min="2564" max="2564" width="5.28515625" customWidth="1"/>
    <col min="2565" max="2571" width="6.5703125" customWidth="1"/>
    <col min="2572" max="2574" width="5.28515625" customWidth="1"/>
    <col min="2575" max="2575" width="6.85546875" bestFit="1" customWidth="1"/>
    <col min="2576" max="2576" width="6" bestFit="1" customWidth="1"/>
    <col min="2577" max="2577" width="1.28515625" customWidth="1"/>
    <col min="2578" max="2583" width="14.140625" customWidth="1"/>
    <col min="2584" max="2584" width="7.140625" customWidth="1"/>
    <col min="2817" max="2817" width="7.140625" customWidth="1"/>
    <col min="2818" max="2819" width="6.5703125" customWidth="1"/>
    <col min="2820" max="2820" width="5.28515625" customWidth="1"/>
    <col min="2821" max="2827" width="6.5703125" customWidth="1"/>
    <col min="2828" max="2830" width="5.28515625" customWidth="1"/>
    <col min="2831" max="2831" width="6.85546875" bestFit="1" customWidth="1"/>
    <col min="2832" max="2832" width="6" bestFit="1" customWidth="1"/>
    <col min="2833" max="2833" width="1.28515625" customWidth="1"/>
    <col min="2834" max="2839" width="14.140625" customWidth="1"/>
    <col min="2840" max="2840" width="7.140625" customWidth="1"/>
    <col min="3073" max="3073" width="7.140625" customWidth="1"/>
    <col min="3074" max="3075" width="6.5703125" customWidth="1"/>
    <col min="3076" max="3076" width="5.28515625" customWidth="1"/>
    <col min="3077" max="3083" width="6.5703125" customWidth="1"/>
    <col min="3084" max="3086" width="5.28515625" customWidth="1"/>
    <col min="3087" max="3087" width="6.85546875" bestFit="1" customWidth="1"/>
    <col min="3088" max="3088" width="6" bestFit="1" customWidth="1"/>
    <col min="3089" max="3089" width="1.28515625" customWidth="1"/>
    <col min="3090" max="3095" width="14.140625" customWidth="1"/>
    <col min="3096" max="3096" width="7.140625" customWidth="1"/>
    <col min="3329" max="3329" width="7.140625" customWidth="1"/>
    <col min="3330" max="3331" width="6.5703125" customWidth="1"/>
    <col min="3332" max="3332" width="5.28515625" customWidth="1"/>
    <col min="3333" max="3339" width="6.5703125" customWidth="1"/>
    <col min="3340" max="3342" width="5.28515625" customWidth="1"/>
    <col min="3343" max="3343" width="6.85546875" bestFit="1" customWidth="1"/>
    <col min="3344" max="3344" width="6" bestFit="1" customWidth="1"/>
    <col min="3345" max="3345" width="1.28515625" customWidth="1"/>
    <col min="3346" max="3351" width="14.140625" customWidth="1"/>
    <col min="3352" max="3352" width="7.140625" customWidth="1"/>
    <col min="3585" max="3585" width="7.140625" customWidth="1"/>
    <col min="3586" max="3587" width="6.5703125" customWidth="1"/>
    <col min="3588" max="3588" width="5.28515625" customWidth="1"/>
    <col min="3589" max="3595" width="6.5703125" customWidth="1"/>
    <col min="3596" max="3598" width="5.28515625" customWidth="1"/>
    <col min="3599" max="3599" width="6.85546875" bestFit="1" customWidth="1"/>
    <col min="3600" max="3600" width="6" bestFit="1" customWidth="1"/>
    <col min="3601" max="3601" width="1.28515625" customWidth="1"/>
    <col min="3602" max="3607" width="14.140625" customWidth="1"/>
    <col min="3608" max="3608" width="7.140625" customWidth="1"/>
    <col min="3841" max="3841" width="7.140625" customWidth="1"/>
    <col min="3842" max="3843" width="6.5703125" customWidth="1"/>
    <col min="3844" max="3844" width="5.28515625" customWidth="1"/>
    <col min="3845" max="3851" width="6.5703125" customWidth="1"/>
    <col min="3852" max="3854" width="5.28515625" customWidth="1"/>
    <col min="3855" max="3855" width="6.85546875" bestFit="1" customWidth="1"/>
    <col min="3856" max="3856" width="6" bestFit="1" customWidth="1"/>
    <col min="3857" max="3857" width="1.28515625" customWidth="1"/>
    <col min="3858" max="3863" width="14.140625" customWidth="1"/>
    <col min="3864" max="3864" width="7.140625" customWidth="1"/>
    <col min="4097" max="4097" width="7.140625" customWidth="1"/>
    <col min="4098" max="4099" width="6.5703125" customWidth="1"/>
    <col min="4100" max="4100" width="5.28515625" customWidth="1"/>
    <col min="4101" max="4107" width="6.5703125" customWidth="1"/>
    <col min="4108" max="4110" width="5.28515625" customWidth="1"/>
    <col min="4111" max="4111" width="6.85546875" bestFit="1" customWidth="1"/>
    <col min="4112" max="4112" width="6" bestFit="1" customWidth="1"/>
    <col min="4113" max="4113" width="1.28515625" customWidth="1"/>
    <col min="4114" max="4119" width="14.140625" customWidth="1"/>
    <col min="4120" max="4120" width="7.140625" customWidth="1"/>
    <col min="4353" max="4353" width="7.140625" customWidth="1"/>
    <col min="4354" max="4355" width="6.5703125" customWidth="1"/>
    <col min="4356" max="4356" width="5.28515625" customWidth="1"/>
    <col min="4357" max="4363" width="6.5703125" customWidth="1"/>
    <col min="4364" max="4366" width="5.28515625" customWidth="1"/>
    <col min="4367" max="4367" width="6.85546875" bestFit="1" customWidth="1"/>
    <col min="4368" max="4368" width="6" bestFit="1" customWidth="1"/>
    <col min="4369" max="4369" width="1.28515625" customWidth="1"/>
    <col min="4370" max="4375" width="14.140625" customWidth="1"/>
    <col min="4376" max="4376" width="7.140625" customWidth="1"/>
    <col min="4609" max="4609" width="7.140625" customWidth="1"/>
    <col min="4610" max="4611" width="6.5703125" customWidth="1"/>
    <col min="4612" max="4612" width="5.28515625" customWidth="1"/>
    <col min="4613" max="4619" width="6.5703125" customWidth="1"/>
    <col min="4620" max="4622" width="5.28515625" customWidth="1"/>
    <col min="4623" max="4623" width="6.85546875" bestFit="1" customWidth="1"/>
    <col min="4624" max="4624" width="6" bestFit="1" customWidth="1"/>
    <col min="4625" max="4625" width="1.28515625" customWidth="1"/>
    <col min="4626" max="4631" width="14.140625" customWidth="1"/>
    <col min="4632" max="4632" width="7.140625" customWidth="1"/>
    <col min="4865" max="4865" width="7.140625" customWidth="1"/>
    <col min="4866" max="4867" width="6.5703125" customWidth="1"/>
    <col min="4868" max="4868" width="5.28515625" customWidth="1"/>
    <col min="4869" max="4875" width="6.5703125" customWidth="1"/>
    <col min="4876" max="4878" width="5.28515625" customWidth="1"/>
    <col min="4879" max="4879" width="6.85546875" bestFit="1" customWidth="1"/>
    <col min="4880" max="4880" width="6" bestFit="1" customWidth="1"/>
    <col min="4881" max="4881" width="1.28515625" customWidth="1"/>
    <col min="4882" max="4887" width="14.140625" customWidth="1"/>
    <col min="4888" max="4888" width="7.140625" customWidth="1"/>
    <col min="5121" max="5121" width="7.140625" customWidth="1"/>
    <col min="5122" max="5123" width="6.5703125" customWidth="1"/>
    <col min="5124" max="5124" width="5.28515625" customWidth="1"/>
    <col min="5125" max="5131" width="6.5703125" customWidth="1"/>
    <col min="5132" max="5134" width="5.28515625" customWidth="1"/>
    <col min="5135" max="5135" width="6.85546875" bestFit="1" customWidth="1"/>
    <col min="5136" max="5136" width="6" bestFit="1" customWidth="1"/>
    <col min="5137" max="5137" width="1.28515625" customWidth="1"/>
    <col min="5138" max="5143" width="14.140625" customWidth="1"/>
    <col min="5144" max="5144" width="7.140625" customWidth="1"/>
    <col min="5377" max="5377" width="7.140625" customWidth="1"/>
    <col min="5378" max="5379" width="6.5703125" customWidth="1"/>
    <col min="5380" max="5380" width="5.28515625" customWidth="1"/>
    <col min="5381" max="5387" width="6.5703125" customWidth="1"/>
    <col min="5388" max="5390" width="5.28515625" customWidth="1"/>
    <col min="5391" max="5391" width="6.85546875" bestFit="1" customWidth="1"/>
    <col min="5392" max="5392" width="6" bestFit="1" customWidth="1"/>
    <col min="5393" max="5393" width="1.28515625" customWidth="1"/>
    <col min="5394" max="5399" width="14.140625" customWidth="1"/>
    <col min="5400" max="5400" width="7.140625" customWidth="1"/>
    <col min="5633" max="5633" width="7.140625" customWidth="1"/>
    <col min="5634" max="5635" width="6.5703125" customWidth="1"/>
    <col min="5636" max="5636" width="5.28515625" customWidth="1"/>
    <col min="5637" max="5643" width="6.5703125" customWidth="1"/>
    <col min="5644" max="5646" width="5.28515625" customWidth="1"/>
    <col min="5647" max="5647" width="6.85546875" bestFit="1" customWidth="1"/>
    <col min="5648" max="5648" width="6" bestFit="1" customWidth="1"/>
    <col min="5649" max="5649" width="1.28515625" customWidth="1"/>
    <col min="5650" max="5655" width="14.140625" customWidth="1"/>
    <col min="5656" max="5656" width="7.140625" customWidth="1"/>
    <col min="5889" max="5889" width="7.140625" customWidth="1"/>
    <col min="5890" max="5891" width="6.5703125" customWidth="1"/>
    <col min="5892" max="5892" width="5.28515625" customWidth="1"/>
    <col min="5893" max="5899" width="6.5703125" customWidth="1"/>
    <col min="5900" max="5902" width="5.28515625" customWidth="1"/>
    <col min="5903" max="5903" width="6.85546875" bestFit="1" customWidth="1"/>
    <col min="5904" max="5904" width="6" bestFit="1" customWidth="1"/>
    <col min="5905" max="5905" width="1.28515625" customWidth="1"/>
    <col min="5906" max="5911" width="14.140625" customWidth="1"/>
    <col min="5912" max="5912" width="7.140625" customWidth="1"/>
    <col min="6145" max="6145" width="7.140625" customWidth="1"/>
    <col min="6146" max="6147" width="6.5703125" customWidth="1"/>
    <col min="6148" max="6148" width="5.28515625" customWidth="1"/>
    <col min="6149" max="6155" width="6.5703125" customWidth="1"/>
    <col min="6156" max="6158" width="5.28515625" customWidth="1"/>
    <col min="6159" max="6159" width="6.85546875" bestFit="1" customWidth="1"/>
    <col min="6160" max="6160" width="6" bestFit="1" customWidth="1"/>
    <col min="6161" max="6161" width="1.28515625" customWidth="1"/>
    <col min="6162" max="6167" width="14.140625" customWidth="1"/>
    <col min="6168" max="6168" width="7.140625" customWidth="1"/>
    <col min="6401" max="6401" width="7.140625" customWidth="1"/>
    <col min="6402" max="6403" width="6.5703125" customWidth="1"/>
    <col min="6404" max="6404" width="5.28515625" customWidth="1"/>
    <col min="6405" max="6411" width="6.5703125" customWidth="1"/>
    <col min="6412" max="6414" width="5.28515625" customWidth="1"/>
    <col min="6415" max="6415" width="6.85546875" bestFit="1" customWidth="1"/>
    <col min="6416" max="6416" width="6" bestFit="1" customWidth="1"/>
    <col min="6417" max="6417" width="1.28515625" customWidth="1"/>
    <col min="6418" max="6423" width="14.140625" customWidth="1"/>
    <col min="6424" max="6424" width="7.140625" customWidth="1"/>
    <col min="6657" max="6657" width="7.140625" customWidth="1"/>
    <col min="6658" max="6659" width="6.5703125" customWidth="1"/>
    <col min="6660" max="6660" width="5.28515625" customWidth="1"/>
    <col min="6661" max="6667" width="6.5703125" customWidth="1"/>
    <col min="6668" max="6670" width="5.28515625" customWidth="1"/>
    <col min="6671" max="6671" width="6.85546875" bestFit="1" customWidth="1"/>
    <col min="6672" max="6672" width="6" bestFit="1" customWidth="1"/>
    <col min="6673" max="6673" width="1.28515625" customWidth="1"/>
    <col min="6674" max="6679" width="14.140625" customWidth="1"/>
    <col min="6680" max="6680" width="7.140625" customWidth="1"/>
    <col min="6913" max="6913" width="7.140625" customWidth="1"/>
    <col min="6914" max="6915" width="6.5703125" customWidth="1"/>
    <col min="6916" max="6916" width="5.28515625" customWidth="1"/>
    <col min="6917" max="6923" width="6.5703125" customWidth="1"/>
    <col min="6924" max="6926" width="5.28515625" customWidth="1"/>
    <col min="6927" max="6927" width="6.85546875" bestFit="1" customWidth="1"/>
    <col min="6928" max="6928" width="6" bestFit="1" customWidth="1"/>
    <col min="6929" max="6929" width="1.28515625" customWidth="1"/>
    <col min="6930" max="6935" width="14.140625" customWidth="1"/>
    <col min="6936" max="6936" width="7.140625" customWidth="1"/>
    <col min="7169" max="7169" width="7.140625" customWidth="1"/>
    <col min="7170" max="7171" width="6.5703125" customWidth="1"/>
    <col min="7172" max="7172" width="5.28515625" customWidth="1"/>
    <col min="7173" max="7179" width="6.5703125" customWidth="1"/>
    <col min="7180" max="7182" width="5.28515625" customWidth="1"/>
    <col min="7183" max="7183" width="6.85546875" bestFit="1" customWidth="1"/>
    <col min="7184" max="7184" width="6" bestFit="1" customWidth="1"/>
    <col min="7185" max="7185" width="1.28515625" customWidth="1"/>
    <col min="7186" max="7191" width="14.140625" customWidth="1"/>
    <col min="7192" max="7192" width="7.140625" customWidth="1"/>
    <col min="7425" max="7425" width="7.140625" customWidth="1"/>
    <col min="7426" max="7427" width="6.5703125" customWidth="1"/>
    <col min="7428" max="7428" width="5.28515625" customWidth="1"/>
    <col min="7429" max="7435" width="6.5703125" customWidth="1"/>
    <col min="7436" max="7438" width="5.28515625" customWidth="1"/>
    <col min="7439" max="7439" width="6.85546875" bestFit="1" customWidth="1"/>
    <col min="7440" max="7440" width="6" bestFit="1" customWidth="1"/>
    <col min="7441" max="7441" width="1.28515625" customWidth="1"/>
    <col min="7442" max="7447" width="14.140625" customWidth="1"/>
    <col min="7448" max="7448" width="7.140625" customWidth="1"/>
    <col min="7681" max="7681" width="7.140625" customWidth="1"/>
    <col min="7682" max="7683" width="6.5703125" customWidth="1"/>
    <col min="7684" max="7684" width="5.28515625" customWidth="1"/>
    <col min="7685" max="7691" width="6.5703125" customWidth="1"/>
    <col min="7692" max="7694" width="5.28515625" customWidth="1"/>
    <col min="7695" max="7695" width="6.85546875" bestFit="1" customWidth="1"/>
    <col min="7696" max="7696" width="6" bestFit="1" customWidth="1"/>
    <col min="7697" max="7697" width="1.28515625" customWidth="1"/>
    <col min="7698" max="7703" width="14.140625" customWidth="1"/>
    <col min="7704" max="7704" width="7.140625" customWidth="1"/>
    <col min="7937" max="7937" width="7.140625" customWidth="1"/>
    <col min="7938" max="7939" width="6.5703125" customWidth="1"/>
    <col min="7940" max="7940" width="5.28515625" customWidth="1"/>
    <col min="7941" max="7947" width="6.5703125" customWidth="1"/>
    <col min="7948" max="7950" width="5.28515625" customWidth="1"/>
    <col min="7951" max="7951" width="6.85546875" bestFit="1" customWidth="1"/>
    <col min="7952" max="7952" width="6" bestFit="1" customWidth="1"/>
    <col min="7953" max="7953" width="1.28515625" customWidth="1"/>
    <col min="7954" max="7959" width="14.140625" customWidth="1"/>
    <col min="7960" max="7960" width="7.140625" customWidth="1"/>
    <col min="8193" max="8193" width="7.140625" customWidth="1"/>
    <col min="8194" max="8195" width="6.5703125" customWidth="1"/>
    <col min="8196" max="8196" width="5.28515625" customWidth="1"/>
    <col min="8197" max="8203" width="6.5703125" customWidth="1"/>
    <col min="8204" max="8206" width="5.28515625" customWidth="1"/>
    <col min="8207" max="8207" width="6.85546875" bestFit="1" customWidth="1"/>
    <col min="8208" max="8208" width="6" bestFit="1" customWidth="1"/>
    <col min="8209" max="8209" width="1.28515625" customWidth="1"/>
    <col min="8210" max="8215" width="14.140625" customWidth="1"/>
    <col min="8216" max="8216" width="7.140625" customWidth="1"/>
    <col min="8449" max="8449" width="7.140625" customWidth="1"/>
    <col min="8450" max="8451" width="6.5703125" customWidth="1"/>
    <col min="8452" max="8452" width="5.28515625" customWidth="1"/>
    <col min="8453" max="8459" width="6.5703125" customWidth="1"/>
    <col min="8460" max="8462" width="5.28515625" customWidth="1"/>
    <col min="8463" max="8463" width="6.85546875" bestFit="1" customWidth="1"/>
    <col min="8464" max="8464" width="6" bestFit="1" customWidth="1"/>
    <col min="8465" max="8465" width="1.28515625" customWidth="1"/>
    <col min="8466" max="8471" width="14.140625" customWidth="1"/>
    <col min="8472" max="8472" width="7.140625" customWidth="1"/>
    <col min="8705" max="8705" width="7.140625" customWidth="1"/>
    <col min="8706" max="8707" width="6.5703125" customWidth="1"/>
    <col min="8708" max="8708" width="5.28515625" customWidth="1"/>
    <col min="8709" max="8715" width="6.5703125" customWidth="1"/>
    <col min="8716" max="8718" width="5.28515625" customWidth="1"/>
    <col min="8719" max="8719" width="6.85546875" bestFit="1" customWidth="1"/>
    <col min="8720" max="8720" width="6" bestFit="1" customWidth="1"/>
    <col min="8721" max="8721" width="1.28515625" customWidth="1"/>
    <col min="8722" max="8727" width="14.140625" customWidth="1"/>
    <col min="8728" max="8728" width="7.140625" customWidth="1"/>
    <col min="8961" max="8961" width="7.140625" customWidth="1"/>
    <col min="8962" max="8963" width="6.5703125" customWidth="1"/>
    <col min="8964" max="8964" width="5.28515625" customWidth="1"/>
    <col min="8965" max="8971" width="6.5703125" customWidth="1"/>
    <col min="8972" max="8974" width="5.28515625" customWidth="1"/>
    <col min="8975" max="8975" width="6.85546875" bestFit="1" customWidth="1"/>
    <col min="8976" max="8976" width="6" bestFit="1" customWidth="1"/>
    <col min="8977" max="8977" width="1.28515625" customWidth="1"/>
    <col min="8978" max="8983" width="14.140625" customWidth="1"/>
    <col min="8984" max="8984" width="7.140625" customWidth="1"/>
    <col min="9217" max="9217" width="7.140625" customWidth="1"/>
    <col min="9218" max="9219" width="6.5703125" customWidth="1"/>
    <col min="9220" max="9220" width="5.28515625" customWidth="1"/>
    <col min="9221" max="9227" width="6.5703125" customWidth="1"/>
    <col min="9228" max="9230" width="5.28515625" customWidth="1"/>
    <col min="9231" max="9231" width="6.85546875" bestFit="1" customWidth="1"/>
    <col min="9232" max="9232" width="6" bestFit="1" customWidth="1"/>
    <col min="9233" max="9233" width="1.28515625" customWidth="1"/>
    <col min="9234" max="9239" width="14.140625" customWidth="1"/>
    <col min="9240" max="9240" width="7.140625" customWidth="1"/>
    <col min="9473" max="9473" width="7.140625" customWidth="1"/>
    <col min="9474" max="9475" width="6.5703125" customWidth="1"/>
    <col min="9476" max="9476" width="5.28515625" customWidth="1"/>
    <col min="9477" max="9483" width="6.5703125" customWidth="1"/>
    <col min="9484" max="9486" width="5.28515625" customWidth="1"/>
    <col min="9487" max="9487" width="6.85546875" bestFit="1" customWidth="1"/>
    <col min="9488" max="9488" width="6" bestFit="1" customWidth="1"/>
    <col min="9489" max="9489" width="1.28515625" customWidth="1"/>
    <col min="9490" max="9495" width="14.140625" customWidth="1"/>
    <col min="9496" max="9496" width="7.140625" customWidth="1"/>
    <col min="9729" max="9729" width="7.140625" customWidth="1"/>
    <col min="9730" max="9731" width="6.5703125" customWidth="1"/>
    <col min="9732" max="9732" width="5.28515625" customWidth="1"/>
    <col min="9733" max="9739" width="6.5703125" customWidth="1"/>
    <col min="9740" max="9742" width="5.28515625" customWidth="1"/>
    <col min="9743" max="9743" width="6.85546875" bestFit="1" customWidth="1"/>
    <col min="9744" max="9744" width="6" bestFit="1" customWidth="1"/>
    <col min="9745" max="9745" width="1.28515625" customWidth="1"/>
    <col min="9746" max="9751" width="14.140625" customWidth="1"/>
    <col min="9752" max="9752" width="7.140625" customWidth="1"/>
    <col min="9985" max="9985" width="7.140625" customWidth="1"/>
    <col min="9986" max="9987" width="6.5703125" customWidth="1"/>
    <col min="9988" max="9988" width="5.28515625" customWidth="1"/>
    <col min="9989" max="9995" width="6.5703125" customWidth="1"/>
    <col min="9996" max="9998" width="5.28515625" customWidth="1"/>
    <col min="9999" max="9999" width="6.85546875" bestFit="1" customWidth="1"/>
    <col min="10000" max="10000" width="6" bestFit="1" customWidth="1"/>
    <col min="10001" max="10001" width="1.28515625" customWidth="1"/>
    <col min="10002" max="10007" width="14.140625" customWidth="1"/>
    <col min="10008" max="10008" width="7.140625" customWidth="1"/>
    <col min="10241" max="10241" width="7.140625" customWidth="1"/>
    <col min="10242" max="10243" width="6.5703125" customWidth="1"/>
    <col min="10244" max="10244" width="5.28515625" customWidth="1"/>
    <col min="10245" max="10251" width="6.5703125" customWidth="1"/>
    <col min="10252" max="10254" width="5.28515625" customWidth="1"/>
    <col min="10255" max="10255" width="6.85546875" bestFit="1" customWidth="1"/>
    <col min="10256" max="10256" width="6" bestFit="1" customWidth="1"/>
    <col min="10257" max="10257" width="1.28515625" customWidth="1"/>
    <col min="10258" max="10263" width="14.140625" customWidth="1"/>
    <col min="10264" max="10264" width="7.140625" customWidth="1"/>
    <col min="10497" max="10497" width="7.140625" customWidth="1"/>
    <col min="10498" max="10499" width="6.5703125" customWidth="1"/>
    <col min="10500" max="10500" width="5.28515625" customWidth="1"/>
    <col min="10501" max="10507" width="6.5703125" customWidth="1"/>
    <col min="10508" max="10510" width="5.28515625" customWidth="1"/>
    <col min="10511" max="10511" width="6.85546875" bestFit="1" customWidth="1"/>
    <col min="10512" max="10512" width="6" bestFit="1" customWidth="1"/>
    <col min="10513" max="10513" width="1.28515625" customWidth="1"/>
    <col min="10514" max="10519" width="14.140625" customWidth="1"/>
    <col min="10520" max="10520" width="7.140625" customWidth="1"/>
    <col min="10753" max="10753" width="7.140625" customWidth="1"/>
    <col min="10754" max="10755" width="6.5703125" customWidth="1"/>
    <col min="10756" max="10756" width="5.28515625" customWidth="1"/>
    <col min="10757" max="10763" width="6.5703125" customWidth="1"/>
    <col min="10764" max="10766" width="5.28515625" customWidth="1"/>
    <col min="10767" max="10767" width="6.85546875" bestFit="1" customWidth="1"/>
    <col min="10768" max="10768" width="6" bestFit="1" customWidth="1"/>
    <col min="10769" max="10769" width="1.28515625" customWidth="1"/>
    <col min="10770" max="10775" width="14.140625" customWidth="1"/>
    <col min="10776" max="10776" width="7.140625" customWidth="1"/>
    <col min="11009" max="11009" width="7.140625" customWidth="1"/>
    <col min="11010" max="11011" width="6.5703125" customWidth="1"/>
    <col min="11012" max="11012" width="5.28515625" customWidth="1"/>
    <col min="11013" max="11019" width="6.5703125" customWidth="1"/>
    <col min="11020" max="11022" width="5.28515625" customWidth="1"/>
    <col min="11023" max="11023" width="6.85546875" bestFit="1" customWidth="1"/>
    <col min="11024" max="11024" width="6" bestFit="1" customWidth="1"/>
    <col min="11025" max="11025" width="1.28515625" customWidth="1"/>
    <col min="11026" max="11031" width="14.140625" customWidth="1"/>
    <col min="11032" max="11032" width="7.140625" customWidth="1"/>
    <col min="11265" max="11265" width="7.140625" customWidth="1"/>
    <col min="11266" max="11267" width="6.5703125" customWidth="1"/>
    <col min="11268" max="11268" width="5.28515625" customWidth="1"/>
    <col min="11269" max="11275" width="6.5703125" customWidth="1"/>
    <col min="11276" max="11278" width="5.28515625" customWidth="1"/>
    <col min="11279" max="11279" width="6.85546875" bestFit="1" customWidth="1"/>
    <col min="11280" max="11280" width="6" bestFit="1" customWidth="1"/>
    <col min="11281" max="11281" width="1.28515625" customWidth="1"/>
    <col min="11282" max="11287" width="14.140625" customWidth="1"/>
    <col min="11288" max="11288" width="7.140625" customWidth="1"/>
    <col min="11521" max="11521" width="7.140625" customWidth="1"/>
    <col min="11522" max="11523" width="6.5703125" customWidth="1"/>
    <col min="11524" max="11524" width="5.28515625" customWidth="1"/>
    <col min="11525" max="11531" width="6.5703125" customWidth="1"/>
    <col min="11532" max="11534" width="5.28515625" customWidth="1"/>
    <col min="11535" max="11535" width="6.85546875" bestFit="1" customWidth="1"/>
    <col min="11536" max="11536" width="6" bestFit="1" customWidth="1"/>
    <col min="11537" max="11537" width="1.28515625" customWidth="1"/>
    <col min="11538" max="11543" width="14.140625" customWidth="1"/>
    <col min="11544" max="11544" width="7.140625" customWidth="1"/>
    <col min="11777" max="11777" width="7.140625" customWidth="1"/>
    <col min="11778" max="11779" width="6.5703125" customWidth="1"/>
    <col min="11780" max="11780" width="5.28515625" customWidth="1"/>
    <col min="11781" max="11787" width="6.5703125" customWidth="1"/>
    <col min="11788" max="11790" width="5.28515625" customWidth="1"/>
    <col min="11791" max="11791" width="6.85546875" bestFit="1" customWidth="1"/>
    <col min="11792" max="11792" width="6" bestFit="1" customWidth="1"/>
    <col min="11793" max="11793" width="1.28515625" customWidth="1"/>
    <col min="11794" max="11799" width="14.140625" customWidth="1"/>
    <col min="11800" max="11800" width="7.140625" customWidth="1"/>
    <col min="12033" max="12033" width="7.140625" customWidth="1"/>
    <col min="12034" max="12035" width="6.5703125" customWidth="1"/>
    <col min="12036" max="12036" width="5.28515625" customWidth="1"/>
    <col min="12037" max="12043" width="6.5703125" customWidth="1"/>
    <col min="12044" max="12046" width="5.28515625" customWidth="1"/>
    <col min="12047" max="12047" width="6.85546875" bestFit="1" customWidth="1"/>
    <col min="12048" max="12048" width="6" bestFit="1" customWidth="1"/>
    <col min="12049" max="12049" width="1.28515625" customWidth="1"/>
    <col min="12050" max="12055" width="14.140625" customWidth="1"/>
    <col min="12056" max="12056" width="7.140625" customWidth="1"/>
    <col min="12289" max="12289" width="7.140625" customWidth="1"/>
    <col min="12290" max="12291" width="6.5703125" customWidth="1"/>
    <col min="12292" max="12292" width="5.28515625" customWidth="1"/>
    <col min="12293" max="12299" width="6.5703125" customWidth="1"/>
    <col min="12300" max="12302" width="5.28515625" customWidth="1"/>
    <col min="12303" max="12303" width="6.85546875" bestFit="1" customWidth="1"/>
    <col min="12304" max="12304" width="6" bestFit="1" customWidth="1"/>
    <col min="12305" max="12305" width="1.28515625" customWidth="1"/>
    <col min="12306" max="12311" width="14.140625" customWidth="1"/>
    <col min="12312" max="12312" width="7.140625" customWidth="1"/>
    <col min="12545" max="12545" width="7.140625" customWidth="1"/>
    <col min="12546" max="12547" width="6.5703125" customWidth="1"/>
    <col min="12548" max="12548" width="5.28515625" customWidth="1"/>
    <col min="12549" max="12555" width="6.5703125" customWidth="1"/>
    <col min="12556" max="12558" width="5.28515625" customWidth="1"/>
    <col min="12559" max="12559" width="6.85546875" bestFit="1" customWidth="1"/>
    <col min="12560" max="12560" width="6" bestFit="1" customWidth="1"/>
    <col min="12561" max="12561" width="1.28515625" customWidth="1"/>
    <col min="12562" max="12567" width="14.140625" customWidth="1"/>
    <col min="12568" max="12568" width="7.140625" customWidth="1"/>
    <col min="12801" max="12801" width="7.140625" customWidth="1"/>
    <col min="12802" max="12803" width="6.5703125" customWidth="1"/>
    <col min="12804" max="12804" width="5.28515625" customWidth="1"/>
    <col min="12805" max="12811" width="6.5703125" customWidth="1"/>
    <col min="12812" max="12814" width="5.28515625" customWidth="1"/>
    <col min="12815" max="12815" width="6.85546875" bestFit="1" customWidth="1"/>
    <col min="12816" max="12816" width="6" bestFit="1" customWidth="1"/>
    <col min="12817" max="12817" width="1.28515625" customWidth="1"/>
    <col min="12818" max="12823" width="14.140625" customWidth="1"/>
    <col min="12824" max="12824" width="7.140625" customWidth="1"/>
    <col min="13057" max="13057" width="7.140625" customWidth="1"/>
    <col min="13058" max="13059" width="6.5703125" customWidth="1"/>
    <col min="13060" max="13060" width="5.28515625" customWidth="1"/>
    <col min="13061" max="13067" width="6.5703125" customWidth="1"/>
    <col min="13068" max="13070" width="5.28515625" customWidth="1"/>
    <col min="13071" max="13071" width="6.85546875" bestFit="1" customWidth="1"/>
    <col min="13072" max="13072" width="6" bestFit="1" customWidth="1"/>
    <col min="13073" max="13073" width="1.28515625" customWidth="1"/>
    <col min="13074" max="13079" width="14.140625" customWidth="1"/>
    <col min="13080" max="13080" width="7.140625" customWidth="1"/>
    <col min="13313" max="13313" width="7.140625" customWidth="1"/>
    <col min="13314" max="13315" width="6.5703125" customWidth="1"/>
    <col min="13316" max="13316" width="5.28515625" customWidth="1"/>
    <col min="13317" max="13323" width="6.5703125" customWidth="1"/>
    <col min="13324" max="13326" width="5.28515625" customWidth="1"/>
    <col min="13327" max="13327" width="6.85546875" bestFit="1" customWidth="1"/>
    <col min="13328" max="13328" width="6" bestFit="1" customWidth="1"/>
    <col min="13329" max="13329" width="1.28515625" customWidth="1"/>
    <col min="13330" max="13335" width="14.140625" customWidth="1"/>
    <col min="13336" max="13336" width="7.140625" customWidth="1"/>
    <col min="13569" max="13569" width="7.140625" customWidth="1"/>
    <col min="13570" max="13571" width="6.5703125" customWidth="1"/>
    <col min="13572" max="13572" width="5.28515625" customWidth="1"/>
    <col min="13573" max="13579" width="6.5703125" customWidth="1"/>
    <col min="13580" max="13582" width="5.28515625" customWidth="1"/>
    <col min="13583" max="13583" width="6.85546875" bestFit="1" customWidth="1"/>
    <col min="13584" max="13584" width="6" bestFit="1" customWidth="1"/>
    <col min="13585" max="13585" width="1.28515625" customWidth="1"/>
    <col min="13586" max="13591" width="14.140625" customWidth="1"/>
    <col min="13592" max="13592" width="7.140625" customWidth="1"/>
    <col min="13825" max="13825" width="7.140625" customWidth="1"/>
    <col min="13826" max="13827" width="6.5703125" customWidth="1"/>
    <col min="13828" max="13828" width="5.28515625" customWidth="1"/>
    <col min="13829" max="13835" width="6.5703125" customWidth="1"/>
    <col min="13836" max="13838" width="5.28515625" customWidth="1"/>
    <col min="13839" max="13839" width="6.85546875" bestFit="1" customWidth="1"/>
    <col min="13840" max="13840" width="6" bestFit="1" customWidth="1"/>
    <col min="13841" max="13841" width="1.28515625" customWidth="1"/>
    <col min="13842" max="13847" width="14.140625" customWidth="1"/>
    <col min="13848" max="13848" width="7.140625" customWidth="1"/>
    <col min="14081" max="14081" width="7.140625" customWidth="1"/>
    <col min="14082" max="14083" width="6.5703125" customWidth="1"/>
    <col min="14084" max="14084" width="5.28515625" customWidth="1"/>
    <col min="14085" max="14091" width="6.5703125" customWidth="1"/>
    <col min="14092" max="14094" width="5.28515625" customWidth="1"/>
    <col min="14095" max="14095" width="6.85546875" bestFit="1" customWidth="1"/>
    <col min="14096" max="14096" width="6" bestFit="1" customWidth="1"/>
    <col min="14097" max="14097" width="1.28515625" customWidth="1"/>
    <col min="14098" max="14103" width="14.140625" customWidth="1"/>
    <col min="14104" max="14104" width="7.140625" customWidth="1"/>
    <col min="14337" max="14337" width="7.140625" customWidth="1"/>
    <col min="14338" max="14339" width="6.5703125" customWidth="1"/>
    <col min="14340" max="14340" width="5.28515625" customWidth="1"/>
    <col min="14341" max="14347" width="6.5703125" customWidth="1"/>
    <col min="14348" max="14350" width="5.28515625" customWidth="1"/>
    <col min="14351" max="14351" width="6.85546875" bestFit="1" customWidth="1"/>
    <col min="14352" max="14352" width="6" bestFit="1" customWidth="1"/>
    <col min="14353" max="14353" width="1.28515625" customWidth="1"/>
    <col min="14354" max="14359" width="14.140625" customWidth="1"/>
    <col min="14360" max="14360" width="7.140625" customWidth="1"/>
    <col min="14593" max="14593" width="7.140625" customWidth="1"/>
    <col min="14594" max="14595" width="6.5703125" customWidth="1"/>
    <col min="14596" max="14596" width="5.28515625" customWidth="1"/>
    <col min="14597" max="14603" width="6.5703125" customWidth="1"/>
    <col min="14604" max="14606" width="5.28515625" customWidth="1"/>
    <col min="14607" max="14607" width="6.85546875" bestFit="1" customWidth="1"/>
    <col min="14608" max="14608" width="6" bestFit="1" customWidth="1"/>
    <col min="14609" max="14609" width="1.28515625" customWidth="1"/>
    <col min="14610" max="14615" width="14.140625" customWidth="1"/>
    <col min="14616" max="14616" width="7.140625" customWidth="1"/>
    <col min="14849" max="14849" width="7.140625" customWidth="1"/>
    <col min="14850" max="14851" width="6.5703125" customWidth="1"/>
    <col min="14852" max="14852" width="5.28515625" customWidth="1"/>
    <col min="14853" max="14859" width="6.5703125" customWidth="1"/>
    <col min="14860" max="14862" width="5.28515625" customWidth="1"/>
    <col min="14863" max="14863" width="6.85546875" bestFit="1" customWidth="1"/>
    <col min="14864" max="14864" width="6" bestFit="1" customWidth="1"/>
    <col min="14865" max="14865" width="1.28515625" customWidth="1"/>
    <col min="14866" max="14871" width="14.140625" customWidth="1"/>
    <col min="14872" max="14872" width="7.140625" customWidth="1"/>
    <col min="15105" max="15105" width="7.140625" customWidth="1"/>
    <col min="15106" max="15107" width="6.5703125" customWidth="1"/>
    <col min="15108" max="15108" width="5.28515625" customWidth="1"/>
    <col min="15109" max="15115" width="6.5703125" customWidth="1"/>
    <col min="15116" max="15118" width="5.28515625" customWidth="1"/>
    <col min="15119" max="15119" width="6.85546875" bestFit="1" customWidth="1"/>
    <col min="15120" max="15120" width="6" bestFit="1" customWidth="1"/>
    <col min="15121" max="15121" width="1.28515625" customWidth="1"/>
    <col min="15122" max="15127" width="14.140625" customWidth="1"/>
    <col min="15128" max="15128" width="7.140625" customWidth="1"/>
    <col min="15361" max="15361" width="7.140625" customWidth="1"/>
    <col min="15362" max="15363" width="6.5703125" customWidth="1"/>
    <col min="15364" max="15364" width="5.28515625" customWidth="1"/>
    <col min="15365" max="15371" width="6.5703125" customWidth="1"/>
    <col min="15372" max="15374" width="5.28515625" customWidth="1"/>
    <col min="15375" max="15375" width="6.85546875" bestFit="1" customWidth="1"/>
    <col min="15376" max="15376" width="6" bestFit="1" customWidth="1"/>
    <col min="15377" max="15377" width="1.28515625" customWidth="1"/>
    <col min="15378" max="15383" width="14.140625" customWidth="1"/>
    <col min="15384" max="15384" width="7.140625" customWidth="1"/>
    <col min="15617" max="15617" width="7.140625" customWidth="1"/>
    <col min="15618" max="15619" width="6.5703125" customWidth="1"/>
    <col min="15620" max="15620" width="5.28515625" customWidth="1"/>
    <col min="15621" max="15627" width="6.5703125" customWidth="1"/>
    <col min="15628" max="15630" width="5.28515625" customWidth="1"/>
    <col min="15631" max="15631" width="6.85546875" bestFit="1" customWidth="1"/>
    <col min="15632" max="15632" width="6" bestFit="1" customWidth="1"/>
    <col min="15633" max="15633" width="1.28515625" customWidth="1"/>
    <col min="15634" max="15639" width="14.140625" customWidth="1"/>
    <col min="15640" max="15640" width="7.140625" customWidth="1"/>
    <col min="15873" max="15873" width="7.140625" customWidth="1"/>
    <col min="15874" max="15875" width="6.5703125" customWidth="1"/>
    <col min="15876" max="15876" width="5.28515625" customWidth="1"/>
    <col min="15877" max="15883" width="6.5703125" customWidth="1"/>
    <col min="15884" max="15886" width="5.28515625" customWidth="1"/>
    <col min="15887" max="15887" width="6.85546875" bestFit="1" customWidth="1"/>
    <col min="15888" max="15888" width="6" bestFit="1" customWidth="1"/>
    <col min="15889" max="15889" width="1.28515625" customWidth="1"/>
    <col min="15890" max="15895" width="14.140625" customWidth="1"/>
    <col min="15896" max="15896" width="7.140625" customWidth="1"/>
    <col min="16129" max="16129" width="7.140625" customWidth="1"/>
    <col min="16130" max="16131" width="6.5703125" customWidth="1"/>
    <col min="16132" max="16132" width="5.28515625" customWidth="1"/>
    <col min="16133" max="16139" width="6.5703125" customWidth="1"/>
    <col min="16140" max="16142" width="5.28515625" customWidth="1"/>
    <col min="16143" max="16143" width="6.85546875" bestFit="1" customWidth="1"/>
    <col min="16144" max="16144" width="6" bestFit="1" customWidth="1"/>
    <col min="16145" max="16145" width="1.28515625" customWidth="1"/>
    <col min="16146" max="16151" width="14.140625" customWidth="1"/>
    <col min="16152" max="16152" width="7.140625" customWidth="1"/>
  </cols>
  <sheetData>
    <row r="1" spans="1:32" s="3" customFormat="1" ht="12.75" x14ac:dyDescent="0.2">
      <c r="A1" s="1"/>
      <c r="B1" s="2"/>
      <c r="C1" s="2"/>
      <c r="D1" s="2"/>
      <c r="E1" s="2"/>
      <c r="G1" s="2"/>
      <c r="H1" s="2"/>
      <c r="I1" s="4"/>
      <c r="K1" s="1"/>
      <c r="L1" s="5"/>
      <c r="M1" s="5"/>
      <c r="P1" s="5"/>
      <c r="R1" s="1"/>
      <c r="S1" s="2"/>
      <c r="T1" s="2"/>
      <c r="U1" s="2"/>
      <c r="V1" s="2"/>
      <c r="X1" s="2"/>
      <c r="Y1" s="2"/>
      <c r="Z1" s="4"/>
      <c r="AB1" s="1"/>
      <c r="AC1" s="5"/>
      <c r="AF1" s="5"/>
    </row>
    <row r="2" spans="1:32" s="3" customFormat="1" ht="12.75" x14ac:dyDescent="0.2">
      <c r="A2" s="1"/>
      <c r="B2" s="2"/>
      <c r="C2" s="2"/>
      <c r="D2" s="2"/>
      <c r="E2" s="2"/>
      <c r="G2" s="2"/>
      <c r="H2" s="2"/>
      <c r="I2" s="4"/>
      <c r="K2" s="1"/>
      <c r="L2" s="5"/>
      <c r="M2" s="5"/>
      <c r="P2" s="5"/>
      <c r="R2" s="1"/>
      <c r="S2" s="2"/>
      <c r="T2" s="2"/>
      <c r="U2" s="2"/>
      <c r="V2" s="2"/>
      <c r="X2" s="2"/>
      <c r="Y2" s="2"/>
      <c r="Z2" s="4"/>
      <c r="AB2" s="1"/>
      <c r="AC2" s="5"/>
      <c r="AF2" s="5"/>
    </row>
    <row r="3" spans="1:32" ht="15.75" x14ac:dyDescent="0.2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1</v>
      </c>
      <c r="S3" s="63"/>
      <c r="T3" s="63"/>
      <c r="U3" s="63"/>
      <c r="V3" s="63"/>
      <c r="W3" s="7"/>
      <c r="X3" s="7"/>
      <c r="Z3" s="7"/>
      <c r="AA3" s="7"/>
      <c r="AB3" s="7"/>
      <c r="AC3" s="7"/>
      <c r="AD3" s="7"/>
      <c r="AE3" s="7"/>
      <c r="AF3" s="7"/>
    </row>
    <row r="4" spans="1:32" ht="15.7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6" t="s">
        <v>1</v>
      </c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6" spans="1:32" s="9" customFormat="1" x14ac:dyDescent="0.25">
      <c r="A6" s="8" t="s">
        <v>3</v>
      </c>
      <c r="J6" s="8" t="s">
        <v>4</v>
      </c>
    </row>
    <row r="7" spans="1:32" s="9" customFormat="1" x14ac:dyDescent="0.25">
      <c r="A7" s="8" t="s">
        <v>53</v>
      </c>
      <c r="F7" s="10" t="s">
        <v>6</v>
      </c>
      <c r="G7" s="11" t="s">
        <v>7</v>
      </c>
      <c r="J7" s="8"/>
    </row>
    <row r="8" spans="1:32" s="9" customFormat="1" x14ac:dyDescent="0.25">
      <c r="A8" s="8" t="s">
        <v>8</v>
      </c>
      <c r="J8" s="8" t="s">
        <v>9</v>
      </c>
    </row>
    <row r="9" spans="1:32" ht="15.75" thickBot="1" x14ac:dyDescent="0.3"/>
    <row r="10" spans="1:32" s="15" customFormat="1" ht="127.5" customHeight="1" thickTop="1" thickBot="1" x14ac:dyDescent="0.3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3" t="s">
        <v>22</v>
      </c>
      <c r="N10" s="13" t="s">
        <v>23</v>
      </c>
      <c r="O10" s="13" t="s">
        <v>24</v>
      </c>
      <c r="P10" s="14" t="s">
        <v>25</v>
      </c>
    </row>
    <row r="11" spans="1:32" ht="17.25" customHeight="1" thickTop="1" x14ac:dyDescent="0.25">
      <c r="A11" s="16" t="s">
        <v>26</v>
      </c>
      <c r="B11" s="17">
        <f>'[7]DP8 CAIHUASI S1'!B11+'[7]DP6 CAIHUASI S2'!B11</f>
        <v>24</v>
      </c>
      <c r="C11" s="17">
        <f>'[7]DP8 CAIHUASI S1'!C11+'[7]DP6 CAIHUASI S2'!C11</f>
        <v>10</v>
      </c>
      <c r="D11" s="17">
        <f>'[7]DP8 CAIHUASI S1'!D11+'[7]DP6 CAIHUASI S2'!D11</f>
        <v>6</v>
      </c>
      <c r="E11" s="17">
        <f>'[7]DP8 CAIHUASI S1'!E11+'[7]DP6 CAIHUASI S2'!E11</f>
        <v>0</v>
      </c>
      <c r="F11" s="17">
        <f>'[7]DP8 CAIHUASI S1'!F11+'[7]DP6 CAIHUASI S2'!F11</f>
        <v>4</v>
      </c>
      <c r="G11" s="17">
        <f>'[7]DP8 CAIHUASI S1'!G11+'[7]DP6 CAIHUASI S2'!G11</f>
        <v>36</v>
      </c>
      <c r="H11" s="17">
        <f>'[7]DP8 CAIHUASI S1'!H11+'[7]DP6 CAIHUASI S2'!H11</f>
        <v>8</v>
      </c>
      <c r="I11" s="17">
        <f>'[7]DP8 CAIHUASI S1'!I11+'[7]DP6 CAIHUASI S2'!I11</f>
        <v>11</v>
      </c>
      <c r="J11" s="17">
        <f>'[7]DP8 CAIHUASI S1'!J11+'[7]DP6 CAIHUASI S2'!J11</f>
        <v>18</v>
      </c>
      <c r="K11" s="17">
        <f>'[7]DP8 CAIHUASI S1'!K11+'[7]DP6 CAIHUASI S2'!K11</f>
        <v>21</v>
      </c>
      <c r="L11" s="17">
        <f>'[7]DP8 CAIHUASI S1'!L11+'[7]DP6 CAIHUASI S2'!L11</f>
        <v>9</v>
      </c>
      <c r="M11" s="17">
        <f>'[7]DP8 CAIHUASI S1'!M11+'[7]DP6 CAIHUASI S2'!M11</f>
        <v>0</v>
      </c>
      <c r="N11" s="17">
        <f>'[7]DP8 CAIHUASI S1'!N11+'[7]DP6 CAIHUASI S2'!N11</f>
        <v>0</v>
      </c>
      <c r="O11" s="17">
        <f t="shared" ref="O11:O34" si="0">SUM(B11:N11)</f>
        <v>147</v>
      </c>
      <c r="P11" s="18">
        <f t="shared" ref="P11:P34" si="1">O11/$O$35</f>
        <v>3.6768384192096049E-2</v>
      </c>
    </row>
    <row r="12" spans="1:32" ht="17.25" customHeight="1" x14ac:dyDescent="0.25">
      <c r="A12" s="19" t="s">
        <v>27</v>
      </c>
      <c r="B12" s="17">
        <f>'[7]DP8 CAIHUASI S1'!B12+'[7]DP6 CAIHUASI S2'!B12</f>
        <v>10</v>
      </c>
      <c r="C12" s="17">
        <f>'[7]DP8 CAIHUASI S1'!C12+'[7]DP6 CAIHUASI S2'!C12</f>
        <v>3</v>
      </c>
      <c r="D12" s="17">
        <f>'[7]DP8 CAIHUASI S1'!D12+'[7]DP6 CAIHUASI S2'!D12</f>
        <v>9</v>
      </c>
      <c r="E12" s="17">
        <f>'[7]DP8 CAIHUASI S1'!E12+'[7]DP6 CAIHUASI S2'!E12</f>
        <v>0</v>
      </c>
      <c r="F12" s="17">
        <f>'[7]DP8 CAIHUASI S1'!F12+'[7]DP6 CAIHUASI S2'!F12</f>
        <v>4</v>
      </c>
      <c r="G12" s="17">
        <f>'[7]DP8 CAIHUASI S1'!G12+'[7]DP6 CAIHUASI S2'!G12</f>
        <v>54</v>
      </c>
      <c r="H12" s="17">
        <f>'[7]DP8 CAIHUASI S1'!H12+'[7]DP6 CAIHUASI S2'!H12</f>
        <v>2</v>
      </c>
      <c r="I12" s="17">
        <f>'[7]DP8 CAIHUASI S1'!I12+'[7]DP6 CAIHUASI S2'!I12</f>
        <v>15</v>
      </c>
      <c r="J12" s="17">
        <f>'[7]DP8 CAIHUASI S1'!J12+'[7]DP6 CAIHUASI S2'!J12</f>
        <v>20</v>
      </c>
      <c r="K12" s="17">
        <f>'[7]DP8 CAIHUASI S1'!K12+'[7]DP6 CAIHUASI S2'!K12</f>
        <v>18</v>
      </c>
      <c r="L12" s="17">
        <f>'[7]DP8 CAIHUASI S1'!L12+'[7]DP6 CAIHUASI S2'!L12</f>
        <v>5</v>
      </c>
      <c r="M12" s="17">
        <f>'[7]DP8 CAIHUASI S1'!M12+'[7]DP6 CAIHUASI S2'!M12</f>
        <v>0</v>
      </c>
      <c r="N12" s="17">
        <f>'[7]DP8 CAIHUASI S1'!N12+'[7]DP6 CAIHUASI S2'!N12</f>
        <v>0</v>
      </c>
      <c r="O12" s="17">
        <f t="shared" si="0"/>
        <v>140</v>
      </c>
      <c r="P12" s="18">
        <f t="shared" si="1"/>
        <v>3.5017508754377188E-2</v>
      </c>
    </row>
    <row r="13" spans="1:32" ht="17.25" customHeight="1" x14ac:dyDescent="0.25">
      <c r="A13" s="19" t="s">
        <v>28</v>
      </c>
      <c r="B13" s="17">
        <f>'[7]DP8 CAIHUASI S1'!B13+'[7]DP6 CAIHUASI S2'!B13</f>
        <v>10</v>
      </c>
      <c r="C13" s="17">
        <f>'[7]DP8 CAIHUASI S1'!C13+'[7]DP6 CAIHUASI S2'!C13</f>
        <v>2</v>
      </c>
      <c r="D13" s="17">
        <f>'[7]DP8 CAIHUASI S1'!D13+'[7]DP6 CAIHUASI S2'!D13</f>
        <v>6</v>
      </c>
      <c r="E13" s="17">
        <f>'[7]DP8 CAIHUASI S1'!E13+'[7]DP6 CAIHUASI S2'!E13</f>
        <v>0</v>
      </c>
      <c r="F13" s="17">
        <f>'[7]DP8 CAIHUASI S1'!F13+'[7]DP6 CAIHUASI S2'!F13</f>
        <v>5</v>
      </c>
      <c r="G13" s="17">
        <f>'[7]DP8 CAIHUASI S1'!G13+'[7]DP6 CAIHUASI S2'!G13</f>
        <v>40</v>
      </c>
      <c r="H13" s="17">
        <f>'[7]DP8 CAIHUASI S1'!H13+'[7]DP6 CAIHUASI S2'!H13</f>
        <v>4</v>
      </c>
      <c r="I13" s="17">
        <f>'[7]DP8 CAIHUASI S1'!I13+'[7]DP6 CAIHUASI S2'!I13</f>
        <v>15</v>
      </c>
      <c r="J13" s="17">
        <f>'[7]DP8 CAIHUASI S1'!J13+'[7]DP6 CAIHUASI S2'!J13</f>
        <v>23</v>
      </c>
      <c r="K13" s="17">
        <f>'[7]DP8 CAIHUASI S1'!K13+'[7]DP6 CAIHUASI S2'!K13</f>
        <v>12</v>
      </c>
      <c r="L13" s="17">
        <f>'[7]DP8 CAIHUASI S1'!L13+'[7]DP6 CAIHUASI S2'!L13</f>
        <v>8</v>
      </c>
      <c r="M13" s="17">
        <f>'[7]DP8 CAIHUASI S1'!M13+'[7]DP6 CAIHUASI S2'!M13</f>
        <v>0</v>
      </c>
      <c r="N13" s="17">
        <f>'[7]DP8 CAIHUASI S1'!N13+'[7]DP6 CAIHUASI S2'!N13</f>
        <v>0</v>
      </c>
      <c r="O13" s="17">
        <f t="shared" si="0"/>
        <v>125</v>
      </c>
      <c r="P13" s="18">
        <f t="shared" si="1"/>
        <v>3.1265632816408206E-2</v>
      </c>
    </row>
    <row r="14" spans="1:32" ht="17.25" customHeight="1" x14ac:dyDescent="0.25">
      <c r="A14" s="19" t="s">
        <v>29</v>
      </c>
      <c r="B14" s="17">
        <f>'[7]DP8 CAIHUASI S1'!B14+'[7]DP6 CAIHUASI S2'!B14</f>
        <v>9</v>
      </c>
      <c r="C14" s="17">
        <f>'[7]DP8 CAIHUASI S1'!C14+'[7]DP6 CAIHUASI S2'!C14</f>
        <v>1</v>
      </c>
      <c r="D14" s="17">
        <f>'[7]DP8 CAIHUASI S1'!D14+'[7]DP6 CAIHUASI S2'!D14</f>
        <v>5</v>
      </c>
      <c r="E14" s="17">
        <f>'[7]DP8 CAIHUASI S1'!E14+'[7]DP6 CAIHUASI S2'!E14</f>
        <v>0</v>
      </c>
      <c r="F14" s="17">
        <f>'[7]DP8 CAIHUASI S1'!F14+'[7]DP6 CAIHUASI S2'!F14</f>
        <v>4</v>
      </c>
      <c r="G14" s="17">
        <f>'[7]DP8 CAIHUASI S1'!G14+'[7]DP6 CAIHUASI S2'!G14</f>
        <v>46</v>
      </c>
      <c r="H14" s="17">
        <f>'[7]DP8 CAIHUASI S1'!H14+'[7]DP6 CAIHUASI S2'!H14</f>
        <v>1</v>
      </c>
      <c r="I14" s="17">
        <f>'[7]DP8 CAIHUASI S1'!I14+'[7]DP6 CAIHUASI S2'!I14</f>
        <v>4</v>
      </c>
      <c r="J14" s="17">
        <f>'[7]DP8 CAIHUASI S1'!J14+'[7]DP6 CAIHUASI S2'!J14</f>
        <v>7</v>
      </c>
      <c r="K14" s="17">
        <f>'[7]DP8 CAIHUASI S1'!K14+'[7]DP6 CAIHUASI S2'!K14</f>
        <v>47</v>
      </c>
      <c r="L14" s="17">
        <f>'[7]DP8 CAIHUASI S1'!L14+'[7]DP6 CAIHUASI S2'!L14</f>
        <v>7</v>
      </c>
      <c r="M14" s="17">
        <f>'[7]DP8 CAIHUASI S1'!M14+'[7]DP6 CAIHUASI S2'!M14</f>
        <v>0</v>
      </c>
      <c r="N14" s="17">
        <f>'[7]DP8 CAIHUASI S1'!N14+'[7]DP6 CAIHUASI S2'!N14</f>
        <v>0</v>
      </c>
      <c r="O14" s="17">
        <f t="shared" si="0"/>
        <v>131</v>
      </c>
      <c r="P14" s="18">
        <f t="shared" si="1"/>
        <v>3.2766383191595798E-2</v>
      </c>
    </row>
    <row r="15" spans="1:32" ht="17.25" customHeight="1" x14ac:dyDescent="0.25">
      <c r="A15" s="19" t="s">
        <v>30</v>
      </c>
      <c r="B15" s="17">
        <f>'[7]DP8 CAIHUASI S1'!B15+'[7]DP6 CAIHUASI S2'!B15</f>
        <v>7</v>
      </c>
      <c r="C15" s="17">
        <f>'[7]DP8 CAIHUASI S1'!C15+'[7]DP6 CAIHUASI S2'!C15</f>
        <v>1</v>
      </c>
      <c r="D15" s="17">
        <f>'[7]DP8 CAIHUASI S1'!D15+'[7]DP6 CAIHUASI S2'!D15</f>
        <v>4</v>
      </c>
      <c r="E15" s="17">
        <f>'[7]DP8 CAIHUASI S1'!E15+'[7]DP6 CAIHUASI S2'!E15</f>
        <v>0</v>
      </c>
      <c r="F15" s="17">
        <f>'[7]DP8 CAIHUASI S1'!F15+'[7]DP6 CAIHUASI S2'!F15</f>
        <v>3</v>
      </c>
      <c r="G15" s="17">
        <f>'[7]DP8 CAIHUASI S1'!G15+'[7]DP6 CAIHUASI S2'!G15</f>
        <v>32</v>
      </c>
      <c r="H15" s="17">
        <f>'[7]DP8 CAIHUASI S1'!H15+'[7]DP6 CAIHUASI S2'!H15</f>
        <v>0</v>
      </c>
      <c r="I15" s="17">
        <f>'[7]DP8 CAIHUASI S1'!I15+'[7]DP6 CAIHUASI S2'!I15</f>
        <v>7</v>
      </c>
      <c r="J15" s="17">
        <f>'[7]DP8 CAIHUASI S1'!J15+'[7]DP6 CAIHUASI S2'!J15</f>
        <v>14</v>
      </c>
      <c r="K15" s="17">
        <f>'[7]DP8 CAIHUASI S1'!K15+'[7]DP6 CAIHUASI S2'!K15</f>
        <v>36</v>
      </c>
      <c r="L15" s="17">
        <f>'[7]DP8 CAIHUASI S1'!L15+'[7]DP6 CAIHUASI S2'!L15</f>
        <v>8</v>
      </c>
      <c r="M15" s="17">
        <f>'[7]DP8 CAIHUASI S1'!M15+'[7]DP6 CAIHUASI S2'!M15</f>
        <v>0</v>
      </c>
      <c r="N15" s="17">
        <f>'[7]DP8 CAIHUASI S1'!N15+'[7]DP6 CAIHUASI S2'!N15</f>
        <v>0</v>
      </c>
      <c r="O15" s="17">
        <f t="shared" si="0"/>
        <v>112</v>
      </c>
      <c r="P15" s="18">
        <f t="shared" si="1"/>
        <v>2.8014007003501751E-2</v>
      </c>
    </row>
    <row r="16" spans="1:32" ht="17.25" customHeight="1" x14ac:dyDescent="0.25">
      <c r="A16" s="19" t="s">
        <v>31</v>
      </c>
      <c r="B16" s="17">
        <f>'[7]DP8 CAIHUASI S1'!B16+'[7]DP6 CAIHUASI S2'!B16</f>
        <v>17</v>
      </c>
      <c r="C16" s="17">
        <f>'[7]DP8 CAIHUASI S1'!C16+'[7]DP6 CAIHUASI S2'!C16</f>
        <v>4</v>
      </c>
      <c r="D16" s="17">
        <f>'[7]DP8 CAIHUASI S1'!D16+'[7]DP6 CAIHUASI S2'!D16</f>
        <v>14</v>
      </c>
      <c r="E16" s="17">
        <f>'[7]DP8 CAIHUASI S1'!E16+'[7]DP6 CAIHUASI S2'!E16</f>
        <v>0</v>
      </c>
      <c r="F16" s="17">
        <f>'[7]DP8 CAIHUASI S1'!F16+'[7]DP6 CAIHUASI S2'!F16</f>
        <v>5</v>
      </c>
      <c r="G16" s="17">
        <f>'[7]DP8 CAIHUASI S1'!G16+'[7]DP6 CAIHUASI S2'!G16</f>
        <v>56</v>
      </c>
      <c r="H16" s="17">
        <f>'[7]DP8 CAIHUASI S1'!H16+'[7]DP6 CAIHUASI S2'!H16</f>
        <v>5</v>
      </c>
      <c r="I16" s="17">
        <f>'[7]DP8 CAIHUASI S1'!I16+'[7]DP6 CAIHUASI S2'!I16</f>
        <v>10</v>
      </c>
      <c r="J16" s="17">
        <f>'[7]DP8 CAIHUASI S1'!J16+'[7]DP6 CAIHUASI S2'!J16</f>
        <v>15</v>
      </c>
      <c r="K16" s="17">
        <f>'[7]DP8 CAIHUASI S1'!K16+'[7]DP6 CAIHUASI S2'!K16</f>
        <v>38</v>
      </c>
      <c r="L16" s="17">
        <f>'[7]DP8 CAIHUASI S1'!L16+'[7]DP6 CAIHUASI S2'!L16</f>
        <v>13</v>
      </c>
      <c r="M16" s="17">
        <f>'[7]DP8 CAIHUASI S1'!M16+'[7]DP6 CAIHUASI S2'!M16</f>
        <v>3</v>
      </c>
      <c r="N16" s="17">
        <f>'[7]DP8 CAIHUASI S1'!N16+'[7]DP6 CAIHUASI S2'!N16</f>
        <v>0</v>
      </c>
      <c r="O16" s="17">
        <f t="shared" si="0"/>
        <v>180</v>
      </c>
      <c r="P16" s="18">
        <f t="shared" si="1"/>
        <v>4.5022511255627812E-2</v>
      </c>
    </row>
    <row r="17" spans="1:16" ht="17.25" customHeight="1" x14ac:dyDescent="0.25">
      <c r="A17" s="19" t="s">
        <v>32</v>
      </c>
      <c r="B17" s="17">
        <f>'[7]DP8 CAIHUASI S1'!B17+'[7]DP6 CAIHUASI S2'!B17</f>
        <v>22</v>
      </c>
      <c r="C17" s="17">
        <f>'[7]DP8 CAIHUASI S1'!C17+'[7]DP6 CAIHUASI S2'!C17</f>
        <v>9</v>
      </c>
      <c r="D17" s="17">
        <f>'[7]DP8 CAIHUASI S1'!D17+'[7]DP6 CAIHUASI S2'!D17</f>
        <v>24</v>
      </c>
      <c r="E17" s="17">
        <f>'[7]DP8 CAIHUASI S1'!E17+'[7]DP6 CAIHUASI S2'!E17</f>
        <v>0</v>
      </c>
      <c r="F17" s="17">
        <f>'[7]DP8 CAIHUASI S1'!F17+'[7]DP6 CAIHUASI S2'!F17</f>
        <v>2</v>
      </c>
      <c r="G17" s="17">
        <f>'[7]DP8 CAIHUASI S1'!G17+'[7]DP6 CAIHUASI S2'!G17</f>
        <v>11</v>
      </c>
      <c r="H17" s="17">
        <f>'[7]DP8 CAIHUASI S1'!H17+'[7]DP6 CAIHUASI S2'!H17</f>
        <v>0</v>
      </c>
      <c r="I17" s="17">
        <f>'[7]DP8 CAIHUASI S1'!I17+'[7]DP6 CAIHUASI S2'!I17</f>
        <v>5</v>
      </c>
      <c r="J17" s="17">
        <f>'[7]DP8 CAIHUASI S1'!J17+'[7]DP6 CAIHUASI S2'!J17</f>
        <v>10</v>
      </c>
      <c r="K17" s="17">
        <f>'[7]DP8 CAIHUASI S1'!K17+'[7]DP6 CAIHUASI S2'!K17</f>
        <v>28</v>
      </c>
      <c r="L17" s="17">
        <f>'[7]DP8 CAIHUASI S1'!L17+'[7]DP6 CAIHUASI S2'!L17</f>
        <v>5</v>
      </c>
      <c r="M17" s="17">
        <f>'[7]DP8 CAIHUASI S1'!M17+'[7]DP6 CAIHUASI S2'!M17</f>
        <v>0</v>
      </c>
      <c r="N17" s="17">
        <f>'[7]DP8 CAIHUASI S1'!N17+'[7]DP6 CAIHUASI S2'!N17</f>
        <v>0</v>
      </c>
      <c r="O17" s="17">
        <f t="shared" si="0"/>
        <v>116</v>
      </c>
      <c r="P17" s="18">
        <f t="shared" si="1"/>
        <v>2.9014507253626812E-2</v>
      </c>
    </row>
    <row r="18" spans="1:16" ht="17.25" customHeight="1" x14ac:dyDescent="0.25">
      <c r="A18" s="19" t="s">
        <v>33</v>
      </c>
      <c r="B18" s="17">
        <f>'[7]DP8 CAIHUASI S1'!B18+'[7]DP6 CAIHUASI S2'!B18</f>
        <v>36</v>
      </c>
      <c r="C18" s="17">
        <f>'[7]DP8 CAIHUASI S1'!C18+'[7]DP6 CAIHUASI S2'!C18</f>
        <v>8</v>
      </c>
      <c r="D18" s="17">
        <f>'[7]DP8 CAIHUASI S1'!D18+'[7]DP6 CAIHUASI S2'!D18</f>
        <v>24</v>
      </c>
      <c r="E18" s="17">
        <f>'[7]DP8 CAIHUASI S1'!E18+'[7]DP6 CAIHUASI S2'!E18</f>
        <v>0</v>
      </c>
      <c r="F18" s="17">
        <f>'[7]DP8 CAIHUASI S1'!F18+'[7]DP6 CAIHUASI S2'!F18</f>
        <v>3</v>
      </c>
      <c r="G18" s="17">
        <f>'[7]DP8 CAIHUASI S1'!G18+'[7]DP6 CAIHUASI S2'!G18</f>
        <v>5</v>
      </c>
      <c r="H18" s="17">
        <f>'[7]DP8 CAIHUASI S1'!H18+'[7]DP6 CAIHUASI S2'!H18</f>
        <v>1</v>
      </c>
      <c r="I18" s="17">
        <f>'[7]DP8 CAIHUASI S1'!I18+'[7]DP6 CAIHUASI S2'!I18</f>
        <v>2</v>
      </c>
      <c r="J18" s="17">
        <f>'[7]DP8 CAIHUASI S1'!J18+'[7]DP6 CAIHUASI S2'!J18</f>
        <v>9</v>
      </c>
      <c r="K18" s="17">
        <f>'[7]DP8 CAIHUASI S1'!K18+'[7]DP6 CAIHUASI S2'!K18</f>
        <v>16</v>
      </c>
      <c r="L18" s="17">
        <f>'[7]DP8 CAIHUASI S1'!L18+'[7]DP6 CAIHUASI S2'!L18</f>
        <v>5</v>
      </c>
      <c r="M18" s="17">
        <f>'[7]DP8 CAIHUASI S1'!M18+'[7]DP6 CAIHUASI S2'!M18</f>
        <v>0</v>
      </c>
      <c r="N18" s="17">
        <f>'[7]DP8 CAIHUASI S1'!N18+'[7]DP6 CAIHUASI S2'!N18</f>
        <v>0</v>
      </c>
      <c r="O18" s="17">
        <f t="shared" si="0"/>
        <v>109</v>
      </c>
      <c r="P18" s="18">
        <f t="shared" si="1"/>
        <v>2.7263631815907952E-2</v>
      </c>
    </row>
    <row r="19" spans="1:16" ht="17.25" customHeight="1" x14ac:dyDescent="0.25">
      <c r="A19" s="19" t="s">
        <v>34</v>
      </c>
      <c r="B19" s="17">
        <f>'[7]DP8 CAIHUASI S1'!B19+'[7]DP6 CAIHUASI S2'!B19</f>
        <v>78</v>
      </c>
      <c r="C19" s="17">
        <f>'[7]DP8 CAIHUASI S1'!C19+'[7]DP6 CAIHUASI S2'!C19</f>
        <v>6</v>
      </c>
      <c r="D19" s="17">
        <f>'[7]DP8 CAIHUASI S1'!D19+'[7]DP6 CAIHUASI S2'!D19</f>
        <v>25</v>
      </c>
      <c r="E19" s="17">
        <f>'[7]DP8 CAIHUASI S1'!E19+'[7]DP6 CAIHUASI S2'!E19</f>
        <v>0</v>
      </c>
      <c r="F19" s="17">
        <f>'[7]DP8 CAIHUASI S1'!F19+'[7]DP6 CAIHUASI S2'!F19</f>
        <v>2</v>
      </c>
      <c r="G19" s="17">
        <f>'[7]DP8 CAIHUASI S1'!G19+'[7]DP6 CAIHUASI S2'!G19</f>
        <v>12</v>
      </c>
      <c r="H19" s="17">
        <f>'[7]DP8 CAIHUASI S1'!H19+'[7]DP6 CAIHUASI S2'!H19</f>
        <v>2</v>
      </c>
      <c r="I19" s="17">
        <f>'[7]DP8 CAIHUASI S1'!I19+'[7]DP6 CAIHUASI S2'!I19</f>
        <v>2</v>
      </c>
      <c r="J19" s="17">
        <f>'[7]DP8 CAIHUASI S1'!J19+'[7]DP6 CAIHUASI S2'!J19</f>
        <v>14</v>
      </c>
      <c r="K19" s="17">
        <f>'[7]DP8 CAIHUASI S1'!K19+'[7]DP6 CAIHUASI S2'!K19</f>
        <v>8</v>
      </c>
      <c r="L19" s="17">
        <f>'[7]DP8 CAIHUASI S1'!L19+'[7]DP6 CAIHUASI S2'!L19</f>
        <v>3</v>
      </c>
      <c r="M19" s="17">
        <f>'[7]DP8 CAIHUASI S1'!M19+'[7]DP6 CAIHUASI S2'!M19</f>
        <v>2</v>
      </c>
      <c r="N19" s="17">
        <f>'[7]DP8 CAIHUASI S1'!N19+'[7]DP6 CAIHUASI S2'!N19</f>
        <v>0</v>
      </c>
      <c r="O19" s="17">
        <f t="shared" si="0"/>
        <v>154</v>
      </c>
      <c r="P19" s="18">
        <f t="shared" si="1"/>
        <v>3.8519259629814909E-2</v>
      </c>
    </row>
    <row r="20" spans="1:16" ht="17.25" customHeight="1" x14ac:dyDescent="0.25">
      <c r="A20" s="19" t="s">
        <v>35</v>
      </c>
      <c r="B20" s="17">
        <f>'[7]DP8 CAIHUASI S1'!B20+'[7]DP6 CAIHUASI S2'!B20</f>
        <v>58</v>
      </c>
      <c r="C20" s="17">
        <f>'[7]DP8 CAIHUASI S1'!C20+'[7]DP6 CAIHUASI S2'!C20</f>
        <v>15</v>
      </c>
      <c r="D20" s="17">
        <f>'[7]DP8 CAIHUASI S1'!D20+'[7]DP6 CAIHUASI S2'!D20</f>
        <v>31</v>
      </c>
      <c r="E20" s="17">
        <f>'[7]DP8 CAIHUASI S1'!E20+'[7]DP6 CAIHUASI S2'!E20</f>
        <v>0</v>
      </c>
      <c r="F20" s="17">
        <f>'[7]DP8 CAIHUASI S1'!F20+'[7]DP6 CAIHUASI S2'!F20</f>
        <v>2</v>
      </c>
      <c r="G20" s="17">
        <f>'[7]DP8 CAIHUASI S1'!G20+'[7]DP6 CAIHUASI S2'!G20</f>
        <v>18</v>
      </c>
      <c r="H20" s="17">
        <f>'[7]DP8 CAIHUASI S1'!H20+'[7]DP6 CAIHUASI S2'!H20</f>
        <v>1</v>
      </c>
      <c r="I20" s="17">
        <f>'[7]DP8 CAIHUASI S1'!I20+'[7]DP6 CAIHUASI S2'!I20</f>
        <v>4</v>
      </c>
      <c r="J20" s="17">
        <f>'[7]DP8 CAIHUASI S1'!J20+'[7]DP6 CAIHUASI S2'!J20</f>
        <v>11</v>
      </c>
      <c r="K20" s="17">
        <f>'[7]DP8 CAIHUASI S1'!K20+'[7]DP6 CAIHUASI S2'!K20</f>
        <v>16</v>
      </c>
      <c r="L20" s="17">
        <f>'[7]DP8 CAIHUASI S1'!L20+'[7]DP6 CAIHUASI S2'!L20</f>
        <v>6</v>
      </c>
      <c r="M20" s="17">
        <f>'[7]DP8 CAIHUASI S1'!M20+'[7]DP6 CAIHUASI S2'!M20</f>
        <v>3</v>
      </c>
      <c r="N20" s="17">
        <f>'[7]DP8 CAIHUASI S1'!N20+'[7]DP6 CAIHUASI S2'!N20</f>
        <v>0</v>
      </c>
      <c r="O20" s="17">
        <f t="shared" si="0"/>
        <v>165</v>
      </c>
      <c r="P20" s="18">
        <f t="shared" si="1"/>
        <v>4.127063531765883E-2</v>
      </c>
    </row>
    <row r="21" spans="1:16" ht="17.25" customHeight="1" x14ac:dyDescent="0.25">
      <c r="A21" s="19" t="s">
        <v>36</v>
      </c>
      <c r="B21" s="17">
        <f>'[7]DP8 CAIHUASI S1'!B21+'[7]DP6 CAIHUASI S2'!B21</f>
        <v>52</v>
      </c>
      <c r="C21" s="17">
        <f>'[7]DP8 CAIHUASI S1'!C21+'[7]DP6 CAIHUASI S2'!C21</f>
        <v>14</v>
      </c>
      <c r="D21" s="17">
        <f>'[7]DP8 CAIHUASI S1'!D21+'[7]DP6 CAIHUASI S2'!D21</f>
        <v>24</v>
      </c>
      <c r="E21" s="17">
        <f>'[7]DP8 CAIHUASI S1'!E21+'[7]DP6 CAIHUASI S2'!E21</f>
        <v>0</v>
      </c>
      <c r="F21" s="17">
        <f>'[7]DP8 CAIHUASI S1'!F21+'[7]DP6 CAIHUASI S2'!F21</f>
        <v>3</v>
      </c>
      <c r="G21" s="17">
        <f>'[7]DP8 CAIHUASI S1'!G21+'[7]DP6 CAIHUASI S2'!G21</f>
        <v>23</v>
      </c>
      <c r="H21" s="17">
        <f>'[7]DP8 CAIHUASI S1'!H21+'[7]DP6 CAIHUASI S2'!H21</f>
        <v>8</v>
      </c>
      <c r="I21" s="17">
        <f>'[7]DP8 CAIHUASI S1'!I21+'[7]DP6 CAIHUASI S2'!I21</f>
        <v>17</v>
      </c>
      <c r="J21" s="17">
        <f>'[7]DP8 CAIHUASI S1'!J21+'[7]DP6 CAIHUASI S2'!J21</f>
        <v>18</v>
      </c>
      <c r="K21" s="17">
        <f>'[7]DP8 CAIHUASI S1'!K21+'[7]DP6 CAIHUASI S2'!K21</f>
        <v>13</v>
      </c>
      <c r="L21" s="17">
        <f>'[7]DP8 CAIHUASI S1'!L21+'[7]DP6 CAIHUASI S2'!L21</f>
        <v>12</v>
      </c>
      <c r="M21" s="17">
        <f>'[7]DP8 CAIHUASI S1'!M21+'[7]DP6 CAIHUASI S2'!M21</f>
        <v>4</v>
      </c>
      <c r="N21" s="17">
        <f>'[7]DP8 CAIHUASI S1'!N21+'[7]DP6 CAIHUASI S2'!N21</f>
        <v>0</v>
      </c>
      <c r="O21" s="17">
        <f t="shared" si="0"/>
        <v>188</v>
      </c>
      <c r="P21" s="18">
        <f t="shared" si="1"/>
        <v>4.7023511755877941E-2</v>
      </c>
    </row>
    <row r="22" spans="1:16" ht="17.25" customHeight="1" x14ac:dyDescent="0.25">
      <c r="A22" s="19" t="s">
        <v>37</v>
      </c>
      <c r="B22" s="17">
        <f>'[7]DP8 CAIHUASI S1'!B22+'[7]DP6 CAIHUASI S2'!B22</f>
        <v>72</v>
      </c>
      <c r="C22" s="17">
        <f>'[7]DP8 CAIHUASI S1'!C22+'[7]DP6 CAIHUASI S2'!C22</f>
        <v>11</v>
      </c>
      <c r="D22" s="17">
        <f>'[7]DP8 CAIHUASI S1'!D22+'[7]DP6 CAIHUASI S2'!D22</f>
        <v>31</v>
      </c>
      <c r="E22" s="17">
        <f>'[7]DP8 CAIHUASI S1'!E22+'[7]DP6 CAIHUASI S2'!E22</f>
        <v>0</v>
      </c>
      <c r="F22" s="17">
        <f>'[7]DP8 CAIHUASI S1'!F22+'[7]DP6 CAIHUASI S2'!F22</f>
        <v>3</v>
      </c>
      <c r="G22" s="17">
        <f>'[7]DP8 CAIHUASI S1'!G22+'[7]DP6 CAIHUASI S2'!G22</f>
        <v>23</v>
      </c>
      <c r="H22" s="17">
        <f>'[7]DP8 CAIHUASI S1'!H22+'[7]DP6 CAIHUASI S2'!H22</f>
        <v>3</v>
      </c>
      <c r="I22" s="17">
        <f>'[7]DP8 CAIHUASI S1'!I22+'[7]DP6 CAIHUASI S2'!I22</f>
        <v>6</v>
      </c>
      <c r="J22" s="17">
        <f>'[7]DP8 CAIHUASI S1'!J22+'[7]DP6 CAIHUASI S2'!J22</f>
        <v>12</v>
      </c>
      <c r="K22" s="17">
        <f>'[7]DP8 CAIHUASI S1'!K22+'[7]DP6 CAIHUASI S2'!K22</f>
        <v>21</v>
      </c>
      <c r="L22" s="17">
        <f>'[7]DP8 CAIHUASI S1'!L22+'[7]DP6 CAIHUASI S2'!L22</f>
        <v>10</v>
      </c>
      <c r="M22" s="17">
        <f>'[7]DP8 CAIHUASI S1'!M22+'[7]DP6 CAIHUASI S2'!M22</f>
        <v>2</v>
      </c>
      <c r="N22" s="17">
        <f>'[7]DP8 CAIHUASI S1'!N22+'[7]DP6 CAIHUASI S2'!N22</f>
        <v>0</v>
      </c>
      <c r="O22" s="17">
        <f t="shared" si="0"/>
        <v>194</v>
      </c>
      <c r="P22" s="18">
        <f t="shared" si="1"/>
        <v>4.8524262131065532E-2</v>
      </c>
    </row>
    <row r="23" spans="1:16" ht="17.25" customHeight="1" x14ac:dyDescent="0.25">
      <c r="A23" s="28" t="s">
        <v>38</v>
      </c>
      <c r="B23" s="29">
        <f>'[7]DP8 CAIHUASI S1'!B23+'[7]DP6 CAIHUASI S2'!B23</f>
        <v>43</v>
      </c>
      <c r="C23" s="29">
        <f>'[7]DP8 CAIHUASI S1'!C23+'[7]DP6 CAIHUASI S2'!C23</f>
        <v>9</v>
      </c>
      <c r="D23" s="29">
        <f>'[7]DP8 CAIHUASI S1'!D23+'[7]DP6 CAIHUASI S2'!D23</f>
        <v>43</v>
      </c>
      <c r="E23" s="29">
        <f>'[7]DP8 CAIHUASI S1'!E23+'[7]DP6 CAIHUASI S2'!E23</f>
        <v>1</v>
      </c>
      <c r="F23" s="29">
        <f>'[7]DP8 CAIHUASI S1'!F23+'[7]DP6 CAIHUASI S2'!F23</f>
        <v>4</v>
      </c>
      <c r="G23" s="29">
        <f>'[7]DP8 CAIHUASI S1'!G23+'[7]DP6 CAIHUASI S2'!G23</f>
        <v>40</v>
      </c>
      <c r="H23" s="29">
        <f>'[7]DP8 CAIHUASI S1'!H23+'[7]DP6 CAIHUASI S2'!H23</f>
        <v>5</v>
      </c>
      <c r="I23" s="29">
        <f>'[7]DP8 CAIHUASI S1'!I23+'[7]DP6 CAIHUASI S2'!I23</f>
        <v>15</v>
      </c>
      <c r="J23" s="29">
        <f>'[7]DP8 CAIHUASI S1'!J23+'[7]DP6 CAIHUASI S2'!J23</f>
        <v>29</v>
      </c>
      <c r="K23" s="29">
        <f>'[7]DP8 CAIHUASI S1'!K23+'[7]DP6 CAIHUASI S2'!K23</f>
        <v>30</v>
      </c>
      <c r="L23" s="29">
        <f>'[7]DP8 CAIHUASI S1'!L23+'[7]DP6 CAIHUASI S2'!L23</f>
        <v>12</v>
      </c>
      <c r="M23" s="29">
        <f>'[7]DP8 CAIHUASI S1'!M23+'[7]DP6 CAIHUASI S2'!M23</f>
        <v>4</v>
      </c>
      <c r="N23" s="29">
        <f>'[7]DP8 CAIHUASI S1'!N23+'[7]DP6 CAIHUASI S2'!N23</f>
        <v>0</v>
      </c>
      <c r="O23" s="29">
        <f t="shared" si="0"/>
        <v>235</v>
      </c>
      <c r="P23" s="30">
        <f t="shared" si="1"/>
        <v>5.8779389694847424E-2</v>
      </c>
    </row>
    <row r="24" spans="1:16" ht="17.25" customHeight="1" x14ac:dyDescent="0.25">
      <c r="A24" s="19" t="s">
        <v>39</v>
      </c>
      <c r="B24" s="17">
        <f>'[7]DP8 CAIHUASI S1'!B24+'[7]DP6 CAIHUASI S2'!B24</f>
        <v>46</v>
      </c>
      <c r="C24" s="17">
        <f>'[7]DP8 CAIHUASI S1'!C24+'[7]DP6 CAIHUASI S2'!C24</f>
        <v>7</v>
      </c>
      <c r="D24" s="17">
        <f>'[7]DP8 CAIHUASI S1'!D24+'[7]DP6 CAIHUASI S2'!D24</f>
        <v>39</v>
      </c>
      <c r="E24" s="17">
        <f>'[7]DP8 CAIHUASI S1'!E24+'[7]DP6 CAIHUASI S2'!E24</f>
        <v>1</v>
      </c>
      <c r="F24" s="17">
        <f>'[7]DP8 CAIHUASI S1'!F24+'[7]DP6 CAIHUASI S2'!F24</f>
        <v>9</v>
      </c>
      <c r="G24" s="17">
        <f>'[7]DP8 CAIHUASI S1'!G24+'[7]DP6 CAIHUASI S2'!G24</f>
        <v>35</v>
      </c>
      <c r="H24" s="17">
        <f>'[7]DP8 CAIHUASI S1'!H24+'[7]DP6 CAIHUASI S2'!H24</f>
        <v>5</v>
      </c>
      <c r="I24" s="17">
        <f>'[7]DP8 CAIHUASI S1'!I24+'[7]DP6 CAIHUASI S2'!I24</f>
        <v>19</v>
      </c>
      <c r="J24" s="17">
        <f>'[7]DP8 CAIHUASI S1'!J24+'[7]DP6 CAIHUASI S2'!J24</f>
        <v>17</v>
      </c>
      <c r="K24" s="17">
        <f>'[7]DP8 CAIHUASI S1'!K24+'[7]DP6 CAIHUASI S2'!K24</f>
        <v>26</v>
      </c>
      <c r="L24" s="17">
        <f>'[7]DP8 CAIHUASI S1'!L24+'[7]DP6 CAIHUASI S2'!L24</f>
        <v>11</v>
      </c>
      <c r="M24" s="17">
        <f>'[7]DP8 CAIHUASI S1'!M24+'[7]DP6 CAIHUASI S2'!M24</f>
        <v>4</v>
      </c>
      <c r="N24" s="17">
        <f>'[7]DP8 CAIHUASI S1'!N24+'[7]DP6 CAIHUASI S2'!N24</f>
        <v>0</v>
      </c>
      <c r="O24" s="17">
        <f t="shared" si="0"/>
        <v>219</v>
      </c>
      <c r="P24" s="18">
        <f t="shared" si="1"/>
        <v>5.4777388694347173E-2</v>
      </c>
    </row>
    <row r="25" spans="1:16" ht="17.25" customHeight="1" x14ac:dyDescent="0.25">
      <c r="A25" s="19" t="s">
        <v>40</v>
      </c>
      <c r="B25" s="17">
        <f>'[7]DP8 CAIHUASI S1'!B25+'[7]DP6 CAIHUASI S2'!B25</f>
        <v>36</v>
      </c>
      <c r="C25" s="17">
        <f>'[7]DP8 CAIHUASI S1'!C25+'[7]DP6 CAIHUASI S2'!C25</f>
        <v>8</v>
      </c>
      <c r="D25" s="17">
        <f>'[7]DP8 CAIHUASI S1'!D25+'[7]DP6 CAIHUASI S2'!D25</f>
        <v>38</v>
      </c>
      <c r="E25" s="17">
        <f>'[7]DP8 CAIHUASI S1'!E25+'[7]DP6 CAIHUASI S2'!E25</f>
        <v>0</v>
      </c>
      <c r="F25" s="17">
        <f>'[7]DP8 CAIHUASI S1'!F25+'[7]DP6 CAIHUASI S2'!F25</f>
        <v>4</v>
      </c>
      <c r="G25" s="17">
        <f>'[7]DP8 CAIHUASI S1'!G25+'[7]DP6 CAIHUASI S2'!G25</f>
        <v>31</v>
      </c>
      <c r="H25" s="17">
        <f>'[7]DP8 CAIHUASI S1'!H25+'[7]DP6 CAIHUASI S2'!H25</f>
        <v>4</v>
      </c>
      <c r="I25" s="17">
        <f>'[7]DP8 CAIHUASI S1'!I25+'[7]DP6 CAIHUASI S2'!I25</f>
        <v>22</v>
      </c>
      <c r="J25" s="17">
        <f>'[7]DP8 CAIHUASI S1'!J25+'[7]DP6 CAIHUASI S2'!J25</f>
        <v>23</v>
      </c>
      <c r="K25" s="17">
        <f>'[7]DP8 CAIHUASI S1'!K25+'[7]DP6 CAIHUASI S2'!K25</f>
        <v>23</v>
      </c>
      <c r="L25" s="17">
        <f>'[7]DP8 CAIHUASI S1'!L25+'[7]DP6 CAIHUASI S2'!L25</f>
        <v>12</v>
      </c>
      <c r="M25" s="17">
        <f>'[7]DP8 CAIHUASI S1'!M25+'[7]DP6 CAIHUASI S2'!M25</f>
        <v>3</v>
      </c>
      <c r="N25" s="17">
        <f>'[7]DP8 CAIHUASI S1'!N25+'[7]DP6 CAIHUASI S2'!N25</f>
        <v>0</v>
      </c>
      <c r="O25" s="17">
        <f t="shared" si="0"/>
        <v>204</v>
      </c>
      <c r="P25" s="18">
        <f t="shared" si="1"/>
        <v>5.1025512756378191E-2</v>
      </c>
    </row>
    <row r="26" spans="1:16" ht="17.25" customHeight="1" x14ac:dyDescent="0.25">
      <c r="A26" s="19" t="s">
        <v>41</v>
      </c>
      <c r="B26" s="17">
        <f>'[7]DP8 CAIHUASI S1'!B26+'[7]DP6 CAIHUASI S2'!B26</f>
        <v>32</v>
      </c>
      <c r="C26" s="17">
        <f>'[7]DP8 CAIHUASI S1'!C26+'[7]DP6 CAIHUASI S2'!C26</f>
        <v>9</v>
      </c>
      <c r="D26" s="17">
        <f>'[7]DP8 CAIHUASI S1'!D26+'[7]DP6 CAIHUASI S2'!D26</f>
        <v>28</v>
      </c>
      <c r="E26" s="17">
        <f>'[7]DP8 CAIHUASI S1'!E26+'[7]DP6 CAIHUASI S2'!E26</f>
        <v>0</v>
      </c>
      <c r="F26" s="17">
        <f>'[7]DP8 CAIHUASI S1'!F26+'[7]DP6 CAIHUASI S2'!F26</f>
        <v>8</v>
      </c>
      <c r="G26" s="17">
        <f>'[7]DP8 CAIHUASI S1'!G26+'[7]DP6 CAIHUASI S2'!G26</f>
        <v>21</v>
      </c>
      <c r="H26" s="17">
        <f>'[7]DP8 CAIHUASI S1'!H26+'[7]DP6 CAIHUASI S2'!H26</f>
        <v>2</v>
      </c>
      <c r="I26" s="17">
        <f>'[7]DP8 CAIHUASI S1'!I26+'[7]DP6 CAIHUASI S2'!I26</f>
        <v>5</v>
      </c>
      <c r="J26" s="17">
        <f>'[7]DP8 CAIHUASI S1'!J26+'[7]DP6 CAIHUASI S2'!J26</f>
        <v>26</v>
      </c>
      <c r="K26" s="17">
        <f>'[7]DP8 CAIHUASI S1'!K26+'[7]DP6 CAIHUASI S2'!K26</f>
        <v>24</v>
      </c>
      <c r="L26" s="17">
        <f>'[7]DP8 CAIHUASI S1'!L26+'[7]DP6 CAIHUASI S2'!L26</f>
        <v>11</v>
      </c>
      <c r="M26" s="17">
        <f>'[7]DP8 CAIHUASI S1'!M26+'[7]DP6 CAIHUASI S2'!M26</f>
        <v>0</v>
      </c>
      <c r="N26" s="17">
        <f>'[7]DP8 CAIHUASI S1'!N26+'[7]DP6 CAIHUASI S2'!N26</f>
        <v>0</v>
      </c>
      <c r="O26" s="17">
        <f t="shared" si="0"/>
        <v>166</v>
      </c>
      <c r="P26" s="18">
        <f t="shared" si="1"/>
        <v>4.1520760380190098E-2</v>
      </c>
    </row>
    <row r="27" spans="1:16" ht="17.25" customHeight="1" x14ac:dyDescent="0.25">
      <c r="A27" s="19" t="s">
        <v>42</v>
      </c>
      <c r="B27" s="17">
        <f>'[7]DP8 CAIHUASI S1'!B27+'[7]DP6 CAIHUASI S2'!B27</f>
        <v>32</v>
      </c>
      <c r="C27" s="17">
        <f>'[7]DP8 CAIHUASI S1'!C27+'[7]DP6 CAIHUASI S2'!C27</f>
        <v>7</v>
      </c>
      <c r="D27" s="17">
        <f>'[7]DP8 CAIHUASI S1'!D27+'[7]DP6 CAIHUASI S2'!D27</f>
        <v>32</v>
      </c>
      <c r="E27" s="17">
        <f>'[7]DP8 CAIHUASI S1'!E27+'[7]DP6 CAIHUASI S2'!E27</f>
        <v>0</v>
      </c>
      <c r="F27" s="17">
        <f>'[7]DP8 CAIHUASI S1'!F27+'[7]DP6 CAIHUASI S2'!F27</f>
        <v>5</v>
      </c>
      <c r="G27" s="17">
        <f>'[7]DP8 CAIHUASI S1'!G27+'[7]DP6 CAIHUASI S2'!G27</f>
        <v>0</v>
      </c>
      <c r="H27" s="17">
        <f>'[7]DP8 CAIHUASI S1'!H27+'[7]DP6 CAIHUASI S2'!H27</f>
        <v>7</v>
      </c>
      <c r="I27" s="17">
        <f>'[7]DP8 CAIHUASI S1'!I27+'[7]DP6 CAIHUASI S2'!I27</f>
        <v>3</v>
      </c>
      <c r="J27" s="17">
        <f>'[7]DP8 CAIHUASI S1'!J27+'[7]DP6 CAIHUASI S2'!J27</f>
        <v>27</v>
      </c>
      <c r="K27" s="17">
        <f>'[7]DP8 CAIHUASI S1'!K27+'[7]DP6 CAIHUASI S2'!K27</f>
        <v>30</v>
      </c>
      <c r="L27" s="17">
        <f>'[7]DP8 CAIHUASI S1'!L27+'[7]DP6 CAIHUASI S2'!L27</f>
        <v>8</v>
      </c>
      <c r="M27" s="17">
        <f>'[7]DP8 CAIHUASI S1'!M27+'[7]DP6 CAIHUASI S2'!M27</f>
        <v>0</v>
      </c>
      <c r="N27" s="17">
        <f>'[7]DP8 CAIHUASI S1'!N27+'[7]DP6 CAIHUASI S2'!N27</f>
        <v>0</v>
      </c>
      <c r="O27" s="17">
        <f t="shared" si="0"/>
        <v>151</v>
      </c>
      <c r="P27" s="18">
        <f t="shared" si="1"/>
        <v>3.776888444222111E-2</v>
      </c>
    </row>
    <row r="28" spans="1:16" ht="17.25" customHeight="1" x14ac:dyDescent="0.25">
      <c r="A28" s="19" t="s">
        <v>43</v>
      </c>
      <c r="B28" s="17">
        <f>'[7]DP8 CAIHUASI S1'!B28+'[7]DP6 CAIHUASI S2'!B28</f>
        <v>30</v>
      </c>
      <c r="C28" s="17">
        <f>'[7]DP8 CAIHUASI S1'!C28+'[7]DP6 CAIHUASI S2'!C28</f>
        <v>9</v>
      </c>
      <c r="D28" s="17">
        <f>'[7]DP8 CAIHUASI S1'!D28+'[7]DP6 CAIHUASI S2'!D28</f>
        <v>33</v>
      </c>
      <c r="E28" s="17">
        <f>'[7]DP8 CAIHUASI S1'!E28+'[7]DP6 CAIHUASI S2'!E28</f>
        <v>0</v>
      </c>
      <c r="F28" s="17">
        <f>'[7]DP8 CAIHUASI S1'!F28+'[7]DP6 CAIHUASI S2'!F28</f>
        <v>4</v>
      </c>
      <c r="G28" s="17">
        <f>'[7]DP8 CAIHUASI S1'!G28+'[7]DP6 CAIHUASI S2'!G28</f>
        <v>25</v>
      </c>
      <c r="H28" s="17">
        <f>'[7]DP8 CAIHUASI S1'!H28+'[7]DP6 CAIHUASI S2'!H28</f>
        <v>4</v>
      </c>
      <c r="I28" s="17">
        <f>'[7]DP8 CAIHUASI S1'!I28+'[7]DP6 CAIHUASI S2'!I28</f>
        <v>14</v>
      </c>
      <c r="J28" s="17">
        <f>'[7]DP8 CAIHUASI S1'!J28+'[7]DP6 CAIHUASI S2'!J28</f>
        <v>19</v>
      </c>
      <c r="K28" s="17">
        <f>'[7]DP8 CAIHUASI S1'!K28+'[7]DP6 CAIHUASI S2'!K28</f>
        <v>23</v>
      </c>
      <c r="L28" s="17">
        <f>'[7]DP8 CAIHUASI S1'!L28+'[7]DP6 CAIHUASI S2'!L28</f>
        <v>6</v>
      </c>
      <c r="M28" s="17">
        <f>'[7]DP8 CAIHUASI S1'!M28+'[7]DP6 CAIHUASI S2'!M28</f>
        <v>0</v>
      </c>
      <c r="N28" s="17">
        <f>'[7]DP8 CAIHUASI S1'!N28+'[7]DP6 CAIHUASI S2'!N28</f>
        <v>0</v>
      </c>
      <c r="O28" s="17">
        <f t="shared" si="0"/>
        <v>167</v>
      </c>
      <c r="P28" s="18">
        <f t="shared" si="1"/>
        <v>4.177088544272136E-2</v>
      </c>
    </row>
    <row r="29" spans="1:16" ht="17.25" customHeight="1" x14ac:dyDescent="0.25">
      <c r="A29" s="19" t="s">
        <v>44</v>
      </c>
      <c r="B29" s="17">
        <f>'[7]DP8 CAIHUASI S1'!B29+'[7]DP6 CAIHUASI S2'!B29</f>
        <v>43</v>
      </c>
      <c r="C29" s="17">
        <f>'[7]DP8 CAIHUASI S1'!C29+'[7]DP6 CAIHUASI S2'!C29</f>
        <v>8</v>
      </c>
      <c r="D29" s="17">
        <f>'[7]DP8 CAIHUASI S1'!D29+'[7]DP6 CAIHUASI S2'!D29</f>
        <v>17</v>
      </c>
      <c r="E29" s="17">
        <f>'[7]DP8 CAIHUASI S1'!E29+'[7]DP6 CAIHUASI S2'!E29</f>
        <v>0</v>
      </c>
      <c r="F29" s="17">
        <f>'[7]DP8 CAIHUASI S1'!F29+'[7]DP6 CAIHUASI S2'!F29</f>
        <v>3</v>
      </c>
      <c r="G29" s="17">
        <f>'[7]DP8 CAIHUASI S1'!G29+'[7]DP6 CAIHUASI S2'!G29</f>
        <v>23</v>
      </c>
      <c r="H29" s="17">
        <f>'[7]DP8 CAIHUASI S1'!H29+'[7]DP6 CAIHUASI S2'!H29</f>
        <v>4</v>
      </c>
      <c r="I29" s="17">
        <f>'[7]DP8 CAIHUASI S1'!I29+'[7]DP6 CAIHUASI S2'!I29</f>
        <v>8</v>
      </c>
      <c r="J29" s="17">
        <f>'[7]DP8 CAIHUASI S1'!J29+'[7]DP6 CAIHUASI S2'!J29</f>
        <v>19</v>
      </c>
      <c r="K29" s="17">
        <f>'[7]DP8 CAIHUASI S1'!K29+'[7]DP6 CAIHUASI S2'!K29</f>
        <v>27</v>
      </c>
      <c r="L29" s="17">
        <f>'[7]DP8 CAIHUASI S1'!L29+'[7]DP6 CAIHUASI S2'!L29</f>
        <v>13</v>
      </c>
      <c r="M29" s="17">
        <f>'[7]DP8 CAIHUASI S1'!M29+'[7]DP6 CAIHUASI S2'!M29</f>
        <v>0</v>
      </c>
      <c r="N29" s="17">
        <f>'[7]DP8 CAIHUASI S1'!N29+'[7]DP6 CAIHUASI S2'!N29</f>
        <v>0</v>
      </c>
      <c r="O29" s="17">
        <f t="shared" si="0"/>
        <v>165</v>
      </c>
      <c r="P29" s="18">
        <f t="shared" si="1"/>
        <v>4.127063531765883E-2</v>
      </c>
    </row>
    <row r="30" spans="1:16" ht="17.25" customHeight="1" x14ac:dyDescent="0.25">
      <c r="A30" s="19" t="s">
        <v>45</v>
      </c>
      <c r="B30" s="17">
        <f>'[7]DP8 CAIHUASI S1'!B30+'[7]DP6 CAIHUASI S2'!B30</f>
        <v>43</v>
      </c>
      <c r="C30" s="17">
        <f>'[7]DP8 CAIHUASI S1'!C30+'[7]DP6 CAIHUASI S2'!C30</f>
        <v>6</v>
      </c>
      <c r="D30" s="17">
        <f>'[7]DP8 CAIHUASI S1'!D30+'[7]DP6 CAIHUASI S2'!D30</f>
        <v>26</v>
      </c>
      <c r="E30" s="17">
        <f>'[7]DP8 CAIHUASI S1'!E30+'[7]DP6 CAIHUASI S2'!E30</f>
        <v>0</v>
      </c>
      <c r="F30" s="17">
        <f>'[7]DP8 CAIHUASI S1'!F30+'[7]DP6 CAIHUASI S2'!F30</f>
        <v>3</v>
      </c>
      <c r="G30" s="17">
        <f>'[7]DP8 CAIHUASI S1'!G30+'[7]DP6 CAIHUASI S2'!G30</f>
        <v>37</v>
      </c>
      <c r="H30" s="17">
        <f>'[7]DP8 CAIHUASI S1'!H30+'[7]DP6 CAIHUASI S2'!H30</f>
        <v>5</v>
      </c>
      <c r="I30" s="17">
        <f>'[7]DP8 CAIHUASI S1'!I30+'[7]DP6 CAIHUASI S2'!I30</f>
        <v>15</v>
      </c>
      <c r="J30" s="17">
        <f>'[7]DP8 CAIHUASI S1'!J30+'[7]DP6 CAIHUASI S2'!J30</f>
        <v>38</v>
      </c>
      <c r="K30" s="17">
        <f>'[7]DP8 CAIHUASI S1'!K30+'[7]DP6 CAIHUASI S2'!K30</f>
        <v>28</v>
      </c>
      <c r="L30" s="17">
        <f>'[7]DP8 CAIHUASI S1'!L30+'[7]DP6 CAIHUASI S2'!L30</f>
        <v>9</v>
      </c>
      <c r="M30" s="17">
        <f>'[7]DP8 CAIHUASI S1'!M30+'[7]DP6 CAIHUASI S2'!M30</f>
        <v>0</v>
      </c>
      <c r="N30" s="17">
        <f>'[7]DP8 CAIHUASI S1'!N30+'[7]DP6 CAIHUASI S2'!N30</f>
        <v>0</v>
      </c>
      <c r="O30" s="17">
        <f t="shared" si="0"/>
        <v>210</v>
      </c>
      <c r="P30" s="18">
        <f t="shared" si="1"/>
        <v>5.2526263131565783E-2</v>
      </c>
    </row>
    <row r="31" spans="1:16" ht="17.25" customHeight="1" x14ac:dyDescent="0.25">
      <c r="A31" s="19" t="s">
        <v>46</v>
      </c>
      <c r="B31" s="17">
        <f>'[7]DP8 CAIHUASI S1'!B31+'[7]DP6 CAIHUASI S2'!B31</f>
        <v>37</v>
      </c>
      <c r="C31" s="17">
        <f>'[7]DP8 CAIHUASI S1'!C31+'[7]DP6 CAIHUASI S2'!C31</f>
        <v>6</v>
      </c>
      <c r="D31" s="17">
        <f>'[7]DP8 CAIHUASI S1'!D31+'[7]DP6 CAIHUASI S2'!D31</f>
        <v>19</v>
      </c>
      <c r="E31" s="17">
        <f>'[7]DP8 CAIHUASI S1'!E31+'[7]DP6 CAIHUASI S2'!E31</f>
        <v>0</v>
      </c>
      <c r="F31" s="17">
        <f>'[7]DP8 CAIHUASI S1'!F31+'[7]DP6 CAIHUASI S2'!F31</f>
        <v>3</v>
      </c>
      <c r="G31" s="17">
        <f>'[7]DP8 CAIHUASI S1'!G31+'[7]DP6 CAIHUASI S2'!G31</f>
        <v>33</v>
      </c>
      <c r="H31" s="17">
        <f>'[7]DP8 CAIHUASI S1'!H31+'[7]DP6 CAIHUASI S2'!H31</f>
        <v>2</v>
      </c>
      <c r="I31" s="17">
        <f>'[7]DP8 CAIHUASI S1'!I31+'[7]DP6 CAIHUASI S2'!I31</f>
        <v>19</v>
      </c>
      <c r="J31" s="17">
        <f>'[7]DP8 CAIHUASI S1'!J31+'[7]DP6 CAIHUASI S2'!J31</f>
        <v>32</v>
      </c>
      <c r="K31" s="17">
        <f>'[7]DP8 CAIHUASI S1'!K31+'[7]DP6 CAIHUASI S2'!K31</f>
        <v>28</v>
      </c>
      <c r="L31" s="17">
        <f>'[7]DP8 CAIHUASI S1'!L31+'[7]DP6 CAIHUASI S2'!L31</f>
        <v>9</v>
      </c>
      <c r="M31" s="17">
        <f>'[7]DP8 CAIHUASI S1'!M31+'[7]DP6 CAIHUASI S2'!M31</f>
        <v>0</v>
      </c>
      <c r="N31" s="17">
        <f>'[7]DP8 CAIHUASI S1'!N31+'[7]DP6 CAIHUASI S2'!N31</f>
        <v>0</v>
      </c>
      <c r="O31" s="17">
        <f t="shared" si="0"/>
        <v>188</v>
      </c>
      <c r="P31" s="18">
        <f t="shared" si="1"/>
        <v>4.7023511755877941E-2</v>
      </c>
    </row>
    <row r="32" spans="1:16" ht="17.25" customHeight="1" x14ac:dyDescent="0.25">
      <c r="A32" s="19" t="s">
        <v>47</v>
      </c>
      <c r="B32" s="17">
        <f>'[7]DP8 CAIHUASI S1'!B32+'[7]DP6 CAIHUASI S2'!B32</f>
        <v>27</v>
      </c>
      <c r="C32" s="17">
        <f>'[7]DP8 CAIHUASI S1'!C32+'[7]DP6 CAIHUASI S2'!C32</f>
        <v>1</v>
      </c>
      <c r="D32" s="17">
        <f>'[7]DP8 CAIHUASI S1'!D32+'[7]DP6 CAIHUASI S2'!D32</f>
        <v>21</v>
      </c>
      <c r="E32" s="17">
        <f>'[7]DP8 CAIHUASI S1'!E32+'[7]DP6 CAIHUASI S2'!E32</f>
        <v>0</v>
      </c>
      <c r="F32" s="17">
        <f>'[7]DP8 CAIHUASI S1'!F32+'[7]DP6 CAIHUASI S2'!F32</f>
        <v>4</v>
      </c>
      <c r="G32" s="17">
        <f>'[7]DP8 CAIHUASI S1'!G32+'[7]DP6 CAIHUASI S2'!G32</f>
        <v>25</v>
      </c>
      <c r="H32" s="17">
        <f>'[7]DP8 CAIHUASI S1'!H32+'[7]DP6 CAIHUASI S2'!H32</f>
        <v>1</v>
      </c>
      <c r="I32" s="17">
        <f>'[7]DP8 CAIHUASI S1'!I32+'[7]DP6 CAIHUASI S2'!I32</f>
        <v>11</v>
      </c>
      <c r="J32" s="17">
        <f>'[7]DP8 CAIHUASI S1'!J32+'[7]DP6 CAIHUASI S2'!J32</f>
        <v>24</v>
      </c>
      <c r="K32" s="17">
        <f>'[7]DP8 CAIHUASI S1'!K32+'[7]DP6 CAIHUASI S2'!K32</f>
        <v>26</v>
      </c>
      <c r="L32" s="17">
        <f>'[7]DP8 CAIHUASI S1'!L32+'[7]DP6 CAIHUASI S2'!L32</f>
        <v>15</v>
      </c>
      <c r="M32" s="17">
        <f>'[7]DP8 CAIHUASI S1'!M32+'[7]DP6 CAIHUASI S2'!M32</f>
        <v>0</v>
      </c>
      <c r="N32" s="17">
        <f>'[7]DP8 CAIHUASI S1'!N32+'[7]DP6 CAIHUASI S2'!N32</f>
        <v>0</v>
      </c>
      <c r="O32" s="17">
        <f t="shared" si="0"/>
        <v>155</v>
      </c>
      <c r="P32" s="18">
        <f t="shared" si="1"/>
        <v>3.876938469234617E-2</v>
      </c>
    </row>
    <row r="33" spans="1:16" ht="17.25" customHeight="1" x14ac:dyDescent="0.25">
      <c r="A33" s="19" t="s">
        <v>48</v>
      </c>
      <c r="B33" s="17">
        <f>'[7]DP8 CAIHUASI S1'!B33+'[7]DP6 CAIHUASI S2'!B33</f>
        <v>18</v>
      </c>
      <c r="C33" s="17">
        <f>'[7]DP8 CAIHUASI S1'!C33+'[7]DP6 CAIHUASI S2'!C33</f>
        <v>6</v>
      </c>
      <c r="D33" s="17">
        <f>'[7]DP8 CAIHUASI S1'!D33+'[7]DP6 CAIHUASI S2'!D33</f>
        <v>18</v>
      </c>
      <c r="E33" s="17">
        <f>'[7]DP8 CAIHUASI S1'!E33+'[7]DP6 CAIHUASI S2'!E33</f>
        <v>0</v>
      </c>
      <c r="F33" s="17">
        <f>'[7]DP8 CAIHUASI S1'!F33+'[7]DP6 CAIHUASI S2'!F33</f>
        <v>10</v>
      </c>
      <c r="G33" s="17">
        <f>'[7]DP8 CAIHUASI S1'!G33+'[7]DP6 CAIHUASI S2'!G33</f>
        <v>47</v>
      </c>
      <c r="H33" s="17">
        <f>'[7]DP8 CAIHUASI S1'!H33+'[7]DP6 CAIHUASI S2'!H33</f>
        <v>1</v>
      </c>
      <c r="I33" s="17">
        <f>'[7]DP8 CAIHUASI S1'!I33+'[7]DP6 CAIHUASI S2'!I33</f>
        <v>15</v>
      </c>
      <c r="J33" s="17">
        <f>'[7]DP8 CAIHUASI S1'!J33+'[7]DP6 CAIHUASI S2'!J33</f>
        <v>26</v>
      </c>
      <c r="K33" s="17">
        <f>'[7]DP8 CAIHUASI S1'!K33+'[7]DP6 CAIHUASI S2'!K33</f>
        <v>28</v>
      </c>
      <c r="L33" s="17">
        <f>'[7]DP8 CAIHUASI S1'!L33+'[7]DP6 CAIHUASI S2'!L33</f>
        <v>13</v>
      </c>
      <c r="M33" s="17">
        <f>'[7]DP8 CAIHUASI S1'!M33+'[7]DP6 CAIHUASI S2'!M33</f>
        <v>0</v>
      </c>
      <c r="N33" s="17">
        <f>'[7]DP8 CAIHUASI S1'!N33+'[7]DP6 CAIHUASI S2'!N33</f>
        <v>0</v>
      </c>
      <c r="O33" s="17">
        <f t="shared" si="0"/>
        <v>182</v>
      </c>
      <c r="P33" s="18">
        <f t="shared" si="1"/>
        <v>4.5522761380690342E-2</v>
      </c>
    </row>
    <row r="34" spans="1:16" ht="17.25" customHeight="1" thickBot="1" x14ac:dyDescent="0.3">
      <c r="A34" s="20" t="s">
        <v>49</v>
      </c>
      <c r="B34" s="17">
        <f>'[7]DP8 CAIHUASI S1'!B34+'[7]DP6 CAIHUASI S2'!B34</f>
        <v>8</v>
      </c>
      <c r="C34" s="17">
        <f>'[7]DP8 CAIHUASI S1'!C34+'[7]DP6 CAIHUASI S2'!C34</f>
        <v>8</v>
      </c>
      <c r="D34" s="17">
        <f>'[7]DP8 CAIHUASI S1'!D34+'[7]DP6 CAIHUASI S2'!D34</f>
        <v>12</v>
      </c>
      <c r="E34" s="17">
        <f>'[7]DP8 CAIHUASI S1'!E34+'[7]DP6 CAIHUASI S2'!E34</f>
        <v>0</v>
      </c>
      <c r="F34" s="17">
        <f>'[7]DP8 CAIHUASI S1'!F34+'[7]DP6 CAIHUASI S2'!F34</f>
        <v>8</v>
      </c>
      <c r="G34" s="17">
        <f>'[7]DP8 CAIHUASI S1'!G34+'[7]DP6 CAIHUASI S2'!G34</f>
        <v>61</v>
      </c>
      <c r="H34" s="17">
        <f>'[7]DP8 CAIHUASI S1'!H34+'[7]DP6 CAIHUASI S2'!H34</f>
        <v>0</v>
      </c>
      <c r="I34" s="17">
        <f>'[7]DP8 CAIHUASI S1'!I34+'[7]DP6 CAIHUASI S2'!I34</f>
        <v>12</v>
      </c>
      <c r="J34" s="17">
        <f>'[7]DP8 CAIHUASI S1'!J34+'[7]DP6 CAIHUASI S2'!J34</f>
        <v>25</v>
      </c>
      <c r="K34" s="17">
        <f>'[7]DP8 CAIHUASI S1'!K34+'[7]DP6 CAIHUASI S2'!K34</f>
        <v>40</v>
      </c>
      <c r="L34" s="17">
        <f>'[7]DP8 CAIHUASI S1'!L34+'[7]DP6 CAIHUASI S2'!L34</f>
        <v>21</v>
      </c>
      <c r="M34" s="17">
        <f>'[7]DP8 CAIHUASI S1'!M34+'[7]DP6 CAIHUASI S2'!M34</f>
        <v>0</v>
      </c>
      <c r="N34" s="17">
        <f>'[7]DP8 CAIHUASI S1'!N34+'[7]DP6 CAIHUASI S2'!N34</f>
        <v>0</v>
      </c>
      <c r="O34" s="17">
        <f t="shared" si="0"/>
        <v>195</v>
      </c>
      <c r="P34" s="18">
        <f t="shared" si="1"/>
        <v>4.8774387193596801E-2</v>
      </c>
    </row>
    <row r="35" spans="1:16" ht="17.25" customHeight="1" thickBot="1" x14ac:dyDescent="0.3">
      <c r="A35" s="21" t="s">
        <v>24</v>
      </c>
      <c r="B35" s="22">
        <f t="shared" ref="B35:P35" si="2">SUM(B11:B34)</f>
        <v>790</v>
      </c>
      <c r="C35" s="22">
        <f t="shared" si="2"/>
        <v>168</v>
      </c>
      <c r="D35" s="22">
        <f t="shared" si="2"/>
        <v>529</v>
      </c>
      <c r="E35" s="22">
        <f t="shared" si="2"/>
        <v>2</v>
      </c>
      <c r="F35" s="22">
        <f t="shared" si="2"/>
        <v>105</v>
      </c>
      <c r="G35" s="22">
        <f t="shared" si="2"/>
        <v>734</v>
      </c>
      <c r="H35" s="22">
        <f t="shared" si="2"/>
        <v>75</v>
      </c>
      <c r="I35" s="22">
        <f t="shared" si="2"/>
        <v>256</v>
      </c>
      <c r="J35" s="22">
        <f t="shared" si="2"/>
        <v>476</v>
      </c>
      <c r="K35" s="22">
        <f t="shared" si="2"/>
        <v>607</v>
      </c>
      <c r="L35" s="22">
        <f t="shared" si="2"/>
        <v>231</v>
      </c>
      <c r="M35" s="22">
        <f t="shared" si="2"/>
        <v>25</v>
      </c>
      <c r="N35" s="22">
        <f t="shared" si="2"/>
        <v>0</v>
      </c>
      <c r="O35" s="22">
        <f t="shared" si="2"/>
        <v>3998</v>
      </c>
      <c r="P35" s="23">
        <f t="shared" si="2"/>
        <v>1</v>
      </c>
    </row>
    <row r="36" spans="1:16" ht="17.25" customHeight="1" thickTop="1" thickBot="1" x14ac:dyDescent="0.3">
      <c r="A36" s="24" t="s">
        <v>50</v>
      </c>
      <c r="B36" s="25">
        <f t="shared" ref="B36:N36" si="3">B35/$O$35</f>
        <v>0.19759879939969985</v>
      </c>
      <c r="C36" s="25">
        <f t="shared" si="3"/>
        <v>4.2021010505252629E-2</v>
      </c>
      <c r="D36" s="25">
        <f t="shared" si="3"/>
        <v>0.13231615807903951</v>
      </c>
      <c r="E36" s="25">
        <f t="shared" si="3"/>
        <v>5.0025012506253123E-4</v>
      </c>
      <c r="F36" s="25">
        <f t="shared" si="3"/>
        <v>2.6263131565782891E-2</v>
      </c>
      <c r="G36" s="25">
        <f t="shared" si="3"/>
        <v>0.18359179589794897</v>
      </c>
      <c r="H36" s="25">
        <f t="shared" si="3"/>
        <v>1.8759379689844924E-2</v>
      </c>
      <c r="I36" s="25">
        <f t="shared" si="3"/>
        <v>6.4032016008003997E-2</v>
      </c>
      <c r="J36" s="25">
        <f t="shared" si="3"/>
        <v>0.11905952976488245</v>
      </c>
      <c r="K36" s="25">
        <f t="shared" si="3"/>
        <v>0.15182591295647824</v>
      </c>
      <c r="L36" s="25">
        <f t="shared" si="3"/>
        <v>5.7778889444722363E-2</v>
      </c>
      <c r="M36" s="25">
        <f t="shared" si="3"/>
        <v>6.2531265632816404E-3</v>
      </c>
      <c r="N36" s="25">
        <f t="shared" si="3"/>
        <v>0</v>
      </c>
      <c r="O36" s="25">
        <f>SUM(B36:N36)</f>
        <v>0.99999999999999978</v>
      </c>
      <c r="P36" s="26"/>
    </row>
    <row r="37" spans="1:16" ht="15.75" thickTop="1" x14ac:dyDescent="0.25">
      <c r="O37" s="27"/>
    </row>
  </sheetData>
  <mergeCells count="1">
    <mergeCell ref="S3:V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="40" zoomScaleNormal="40" workbookViewId="0">
      <selection activeCell="U73" sqref="U73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topLeftCell="A16" workbookViewId="0">
      <selection activeCell="I29" sqref="I29"/>
    </sheetView>
  </sheetViews>
  <sheetFormatPr baseColWidth="10" defaultColWidth="9.140625" defaultRowHeight="15" x14ac:dyDescent="0.25"/>
  <cols>
    <col min="1" max="1" width="21.5703125" bestFit="1" customWidth="1"/>
  </cols>
  <sheetData>
    <row r="1" spans="1:15" ht="87" customHeight="1" thickTop="1" thickBot="1" x14ac:dyDescent="0.3">
      <c r="A1" s="46" t="s">
        <v>65</v>
      </c>
      <c r="B1" s="44" t="s">
        <v>11</v>
      </c>
      <c r="C1" s="44" t="s">
        <v>12</v>
      </c>
      <c r="D1" s="44" t="s">
        <v>13</v>
      </c>
      <c r="E1" s="44" t="s">
        <v>59</v>
      </c>
      <c r="F1" s="44" t="s">
        <v>60</v>
      </c>
      <c r="G1" s="44" t="s">
        <v>61</v>
      </c>
      <c r="H1" s="44" t="s">
        <v>62</v>
      </c>
      <c r="I1" s="44" t="s">
        <v>63</v>
      </c>
      <c r="J1" s="44" t="s">
        <v>64</v>
      </c>
      <c r="K1" s="44" t="s">
        <v>20</v>
      </c>
      <c r="L1" s="44" t="s">
        <v>21</v>
      </c>
      <c r="M1" s="44" t="s">
        <v>22</v>
      </c>
      <c r="N1" s="44" t="s">
        <v>23</v>
      </c>
      <c r="O1" s="45" t="s">
        <v>24</v>
      </c>
    </row>
    <row r="2" spans="1:15" ht="15.75" thickTop="1" x14ac:dyDescent="0.25">
      <c r="A2" s="38" t="s">
        <v>55</v>
      </c>
      <c r="B2" s="39">
        <v>9</v>
      </c>
      <c r="C2" s="40">
        <v>1</v>
      </c>
      <c r="D2" s="39">
        <v>10</v>
      </c>
      <c r="E2" s="40">
        <v>0</v>
      </c>
      <c r="F2" s="39">
        <v>1</v>
      </c>
      <c r="G2" s="40">
        <v>6</v>
      </c>
      <c r="H2" s="39">
        <v>2</v>
      </c>
      <c r="I2" s="39">
        <v>1</v>
      </c>
      <c r="J2" s="40">
        <v>2</v>
      </c>
      <c r="K2" s="39">
        <v>2</v>
      </c>
      <c r="L2" s="40">
        <v>5</v>
      </c>
      <c r="M2" s="39">
        <v>2</v>
      </c>
      <c r="N2" s="41">
        <v>0</v>
      </c>
      <c r="O2" s="47">
        <f>SUM(B2:N2)</f>
        <v>41</v>
      </c>
    </row>
    <row r="3" spans="1:15" x14ac:dyDescent="0.25">
      <c r="A3" s="42" t="s">
        <v>56</v>
      </c>
      <c r="B3" s="32">
        <v>15</v>
      </c>
      <c r="C3" s="33">
        <v>3</v>
      </c>
      <c r="D3" s="32">
        <v>5</v>
      </c>
      <c r="E3" s="33">
        <v>0</v>
      </c>
      <c r="F3" s="32">
        <v>1</v>
      </c>
      <c r="G3" s="33">
        <v>8</v>
      </c>
      <c r="H3" s="32">
        <v>1</v>
      </c>
      <c r="I3" s="32">
        <v>2</v>
      </c>
      <c r="J3" s="33">
        <v>2</v>
      </c>
      <c r="K3" s="32">
        <v>2</v>
      </c>
      <c r="L3" s="33">
        <v>6</v>
      </c>
      <c r="M3" s="32">
        <v>0</v>
      </c>
      <c r="N3" s="43">
        <v>0</v>
      </c>
      <c r="O3" s="47">
        <f t="shared" ref="O3:O5" si="0">SUM(B3:N3)</f>
        <v>45</v>
      </c>
    </row>
    <row r="4" spans="1:15" x14ac:dyDescent="0.25">
      <c r="A4" s="42" t="s">
        <v>57</v>
      </c>
      <c r="B4" s="32">
        <v>6</v>
      </c>
      <c r="C4" s="33">
        <v>2</v>
      </c>
      <c r="D4" s="32">
        <v>6</v>
      </c>
      <c r="E4" s="33">
        <v>0</v>
      </c>
      <c r="F4" s="32">
        <v>1</v>
      </c>
      <c r="G4" s="33">
        <v>2</v>
      </c>
      <c r="H4" s="32">
        <v>1</v>
      </c>
      <c r="I4" s="32">
        <v>2</v>
      </c>
      <c r="J4" s="33">
        <v>2</v>
      </c>
      <c r="K4" s="32">
        <v>2</v>
      </c>
      <c r="L4" s="33">
        <v>1</v>
      </c>
      <c r="M4" s="32">
        <v>0</v>
      </c>
      <c r="N4" s="43">
        <v>0</v>
      </c>
      <c r="O4" s="47">
        <f t="shared" si="0"/>
        <v>25</v>
      </c>
    </row>
    <row r="5" spans="1:15" x14ac:dyDescent="0.25">
      <c r="A5" s="42" t="s">
        <v>58</v>
      </c>
      <c r="B5" s="32">
        <v>5</v>
      </c>
      <c r="C5" s="33">
        <v>1</v>
      </c>
      <c r="D5" s="32">
        <v>2</v>
      </c>
      <c r="E5" s="33">
        <v>0</v>
      </c>
      <c r="F5" s="32">
        <v>1</v>
      </c>
      <c r="G5" s="33">
        <v>1</v>
      </c>
      <c r="H5" s="32">
        <v>0</v>
      </c>
      <c r="I5" s="32">
        <v>1</v>
      </c>
      <c r="J5" s="33">
        <v>2</v>
      </c>
      <c r="K5" s="32">
        <v>2</v>
      </c>
      <c r="L5" s="33">
        <v>1</v>
      </c>
      <c r="M5" s="32">
        <v>0</v>
      </c>
      <c r="N5" s="43">
        <v>0</v>
      </c>
      <c r="O5" s="47">
        <f t="shared" si="0"/>
        <v>16</v>
      </c>
    </row>
    <row r="6" spans="1:15" x14ac:dyDescent="0.25">
      <c r="A6" s="64" t="s">
        <v>24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6"/>
      <c r="O6" s="47">
        <f>SUM(O2:O5)</f>
        <v>127</v>
      </c>
    </row>
    <row r="8" spans="1:15" ht="15.75" thickBot="1" x14ac:dyDescent="0.3"/>
    <row r="9" spans="1:15" ht="88.15" customHeight="1" thickTop="1" thickBot="1" x14ac:dyDescent="0.3">
      <c r="A9" s="46" t="s">
        <v>65</v>
      </c>
      <c r="B9" s="44" t="s">
        <v>11</v>
      </c>
      <c r="C9" s="44" t="s">
        <v>12</v>
      </c>
      <c r="D9" s="44" t="s">
        <v>13</v>
      </c>
      <c r="E9" s="44" t="s">
        <v>59</v>
      </c>
      <c r="F9" s="44" t="s">
        <v>60</v>
      </c>
      <c r="G9" s="44" t="s">
        <v>61</v>
      </c>
      <c r="H9" s="44" t="s">
        <v>62</v>
      </c>
      <c r="I9" s="44" t="s">
        <v>63</v>
      </c>
      <c r="J9" s="44" t="s">
        <v>64</v>
      </c>
      <c r="K9" s="44" t="s">
        <v>20</v>
      </c>
      <c r="L9" s="44" t="s">
        <v>21</v>
      </c>
      <c r="M9" s="44" t="s">
        <v>22</v>
      </c>
      <c r="N9" s="44" t="s">
        <v>23</v>
      </c>
      <c r="O9" s="45" t="s">
        <v>24</v>
      </c>
    </row>
    <row r="10" spans="1:15" ht="15.75" thickTop="1" x14ac:dyDescent="0.25">
      <c r="A10" s="31" t="s">
        <v>55</v>
      </c>
      <c r="B10" s="32">
        <v>5</v>
      </c>
      <c r="C10" s="33">
        <v>2</v>
      </c>
      <c r="D10" s="32">
        <v>6</v>
      </c>
      <c r="E10" s="33">
        <v>0</v>
      </c>
      <c r="F10" s="32">
        <v>1</v>
      </c>
      <c r="G10" s="33">
        <v>6</v>
      </c>
      <c r="H10" s="32">
        <v>1</v>
      </c>
      <c r="I10" s="32">
        <v>5</v>
      </c>
      <c r="J10" s="33">
        <v>2</v>
      </c>
      <c r="K10" s="32">
        <v>8</v>
      </c>
      <c r="L10" s="33">
        <v>3</v>
      </c>
      <c r="M10" s="32">
        <v>1</v>
      </c>
      <c r="N10" s="32">
        <v>0</v>
      </c>
      <c r="O10" s="47">
        <f>SUM(B10:N10)</f>
        <v>40</v>
      </c>
    </row>
    <row r="11" spans="1:15" x14ac:dyDescent="0.25">
      <c r="A11" s="31" t="s">
        <v>56</v>
      </c>
      <c r="B11" s="32">
        <v>6</v>
      </c>
      <c r="C11" s="33">
        <v>5</v>
      </c>
      <c r="D11" s="32">
        <v>8</v>
      </c>
      <c r="E11" s="33">
        <v>0</v>
      </c>
      <c r="F11" s="32">
        <v>0</v>
      </c>
      <c r="G11" s="33">
        <v>8</v>
      </c>
      <c r="H11" s="32">
        <v>0</v>
      </c>
      <c r="I11" s="32">
        <v>4</v>
      </c>
      <c r="J11" s="33">
        <v>3</v>
      </c>
      <c r="K11" s="32">
        <v>10</v>
      </c>
      <c r="L11" s="33">
        <v>2</v>
      </c>
      <c r="M11" s="32">
        <v>0</v>
      </c>
      <c r="N11" s="32">
        <v>0</v>
      </c>
      <c r="O11" s="47">
        <f t="shared" ref="O11:O13" si="1">SUM(B11:N11)</f>
        <v>46</v>
      </c>
    </row>
    <row r="12" spans="1:15" x14ac:dyDescent="0.25">
      <c r="A12" s="31" t="s">
        <v>57</v>
      </c>
      <c r="B12" s="32">
        <v>12</v>
      </c>
      <c r="C12" s="33">
        <v>3</v>
      </c>
      <c r="D12" s="32">
        <v>5</v>
      </c>
      <c r="E12" s="33">
        <v>0</v>
      </c>
      <c r="F12" s="32">
        <v>1</v>
      </c>
      <c r="G12" s="33">
        <v>5</v>
      </c>
      <c r="H12" s="32">
        <v>1</v>
      </c>
      <c r="I12" s="32">
        <v>3</v>
      </c>
      <c r="J12" s="33">
        <v>2</v>
      </c>
      <c r="K12" s="32">
        <v>6</v>
      </c>
      <c r="L12" s="33">
        <v>2</v>
      </c>
      <c r="M12" s="32">
        <v>1</v>
      </c>
      <c r="N12" s="32">
        <v>0</v>
      </c>
      <c r="O12" s="47">
        <f t="shared" si="1"/>
        <v>41</v>
      </c>
    </row>
    <row r="13" spans="1:15" x14ac:dyDescent="0.25">
      <c r="A13" s="31" t="s">
        <v>58</v>
      </c>
      <c r="B13" s="32">
        <v>9</v>
      </c>
      <c r="C13" s="33">
        <v>2</v>
      </c>
      <c r="D13" s="32">
        <v>5</v>
      </c>
      <c r="E13" s="33">
        <v>0</v>
      </c>
      <c r="F13" s="32">
        <v>1</v>
      </c>
      <c r="G13" s="33">
        <v>4</v>
      </c>
      <c r="H13" s="32">
        <v>1</v>
      </c>
      <c r="I13" s="32">
        <v>1</v>
      </c>
      <c r="J13" s="33">
        <v>2</v>
      </c>
      <c r="K13" s="32">
        <v>5</v>
      </c>
      <c r="L13" s="33">
        <v>2</v>
      </c>
      <c r="M13" s="32">
        <v>1</v>
      </c>
      <c r="N13" s="32">
        <v>0</v>
      </c>
      <c r="O13" s="47">
        <f t="shared" si="1"/>
        <v>33</v>
      </c>
    </row>
    <row r="14" spans="1:15" x14ac:dyDescent="0.25">
      <c r="A14" s="64" t="s">
        <v>24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6"/>
      <c r="O14" s="47">
        <f>SUM(O10:O13)</f>
        <v>160</v>
      </c>
    </row>
    <row r="15" spans="1:15" ht="15.75" thickBot="1" x14ac:dyDescent="0.3"/>
    <row r="16" spans="1:15" ht="86.45" customHeight="1" thickTop="1" thickBot="1" x14ac:dyDescent="0.3">
      <c r="A16" s="46" t="s">
        <v>65</v>
      </c>
      <c r="B16" s="44" t="s">
        <v>11</v>
      </c>
      <c r="C16" s="44" t="s">
        <v>12</v>
      </c>
      <c r="D16" s="44" t="s">
        <v>13</v>
      </c>
      <c r="E16" s="44" t="s">
        <v>59</v>
      </c>
      <c r="F16" s="44" t="s">
        <v>60</v>
      </c>
      <c r="G16" s="44" t="s">
        <v>61</v>
      </c>
      <c r="H16" s="44" t="s">
        <v>62</v>
      </c>
      <c r="I16" s="44" t="s">
        <v>63</v>
      </c>
      <c r="J16" s="44" t="s">
        <v>64</v>
      </c>
      <c r="K16" s="44" t="s">
        <v>20</v>
      </c>
      <c r="L16" s="44" t="s">
        <v>21</v>
      </c>
      <c r="M16" s="44" t="s">
        <v>22</v>
      </c>
      <c r="N16" s="44" t="s">
        <v>23</v>
      </c>
      <c r="O16" s="45" t="s">
        <v>24</v>
      </c>
    </row>
    <row r="17" spans="1:15" ht="15.75" thickTop="1" x14ac:dyDescent="0.25">
      <c r="A17" s="34" t="s">
        <v>55</v>
      </c>
      <c r="B17" s="35">
        <f t="shared" ref="B17:M17" si="2">+B2+B10</f>
        <v>14</v>
      </c>
      <c r="C17" s="35">
        <f t="shared" si="2"/>
        <v>3</v>
      </c>
      <c r="D17" s="35">
        <f t="shared" si="2"/>
        <v>16</v>
      </c>
      <c r="E17" s="35">
        <f t="shared" si="2"/>
        <v>0</v>
      </c>
      <c r="F17" s="35">
        <f t="shared" si="2"/>
        <v>2</v>
      </c>
      <c r="G17" s="35">
        <f t="shared" si="2"/>
        <v>12</v>
      </c>
      <c r="H17" s="35">
        <f t="shared" si="2"/>
        <v>3</v>
      </c>
      <c r="I17" s="35">
        <f t="shared" si="2"/>
        <v>6</v>
      </c>
      <c r="J17" s="35">
        <f t="shared" si="2"/>
        <v>4</v>
      </c>
      <c r="K17" s="35">
        <f t="shared" si="2"/>
        <v>10</v>
      </c>
      <c r="L17" s="35">
        <f t="shared" si="2"/>
        <v>8</v>
      </c>
      <c r="M17" s="35">
        <f t="shared" si="2"/>
        <v>3</v>
      </c>
      <c r="N17" s="35">
        <v>0</v>
      </c>
      <c r="O17" s="47">
        <f>SUM(B17:N17)</f>
        <v>81</v>
      </c>
    </row>
    <row r="18" spans="1:15" x14ac:dyDescent="0.25">
      <c r="A18" s="36" t="s">
        <v>56</v>
      </c>
      <c r="B18" s="37">
        <f t="shared" ref="B18:M18" si="3">+B3+B11</f>
        <v>21</v>
      </c>
      <c r="C18" s="37">
        <f t="shared" si="3"/>
        <v>8</v>
      </c>
      <c r="D18" s="37">
        <f t="shared" si="3"/>
        <v>13</v>
      </c>
      <c r="E18" s="37">
        <f t="shared" si="3"/>
        <v>0</v>
      </c>
      <c r="F18" s="37">
        <f t="shared" si="3"/>
        <v>1</v>
      </c>
      <c r="G18" s="37">
        <f t="shared" si="3"/>
        <v>16</v>
      </c>
      <c r="H18" s="37">
        <f t="shared" si="3"/>
        <v>1</v>
      </c>
      <c r="I18" s="37">
        <f t="shared" si="3"/>
        <v>6</v>
      </c>
      <c r="J18" s="37">
        <f t="shared" si="3"/>
        <v>5</v>
      </c>
      <c r="K18" s="37">
        <f t="shared" si="3"/>
        <v>12</v>
      </c>
      <c r="L18" s="37">
        <f t="shared" si="3"/>
        <v>8</v>
      </c>
      <c r="M18" s="37">
        <f t="shared" si="3"/>
        <v>0</v>
      </c>
      <c r="N18" s="37">
        <v>0</v>
      </c>
      <c r="O18" s="47">
        <f t="shared" ref="O18:O20" si="4">SUM(B18:N18)</f>
        <v>91</v>
      </c>
    </row>
    <row r="19" spans="1:15" x14ac:dyDescent="0.25">
      <c r="A19" s="36" t="s">
        <v>57</v>
      </c>
      <c r="B19" s="37">
        <f t="shared" ref="B19:M19" si="5">+B4+B12</f>
        <v>18</v>
      </c>
      <c r="C19" s="37">
        <f t="shared" si="5"/>
        <v>5</v>
      </c>
      <c r="D19" s="37">
        <f t="shared" si="5"/>
        <v>11</v>
      </c>
      <c r="E19" s="37">
        <f t="shared" si="5"/>
        <v>0</v>
      </c>
      <c r="F19" s="37">
        <f t="shared" si="5"/>
        <v>2</v>
      </c>
      <c r="G19" s="37">
        <f t="shared" si="5"/>
        <v>7</v>
      </c>
      <c r="H19" s="37">
        <f t="shared" si="5"/>
        <v>2</v>
      </c>
      <c r="I19" s="37">
        <f t="shared" si="5"/>
        <v>5</v>
      </c>
      <c r="J19" s="37">
        <f t="shared" si="5"/>
        <v>4</v>
      </c>
      <c r="K19" s="37">
        <f t="shared" si="5"/>
        <v>8</v>
      </c>
      <c r="L19" s="37">
        <f t="shared" si="5"/>
        <v>3</v>
      </c>
      <c r="M19" s="37">
        <f t="shared" si="5"/>
        <v>1</v>
      </c>
      <c r="N19" s="37">
        <v>0</v>
      </c>
      <c r="O19" s="47">
        <f t="shared" si="4"/>
        <v>66</v>
      </c>
    </row>
    <row r="20" spans="1:15" x14ac:dyDescent="0.25">
      <c r="A20" s="36" t="s">
        <v>58</v>
      </c>
      <c r="B20" s="37">
        <f t="shared" ref="B20:M20" si="6">+B5+B13</f>
        <v>14</v>
      </c>
      <c r="C20" s="37">
        <f t="shared" si="6"/>
        <v>3</v>
      </c>
      <c r="D20" s="37">
        <f t="shared" si="6"/>
        <v>7</v>
      </c>
      <c r="E20" s="37">
        <f t="shared" si="6"/>
        <v>0</v>
      </c>
      <c r="F20" s="37">
        <f t="shared" si="6"/>
        <v>2</v>
      </c>
      <c r="G20" s="37">
        <f t="shared" si="6"/>
        <v>5</v>
      </c>
      <c r="H20" s="37">
        <f t="shared" si="6"/>
        <v>1</v>
      </c>
      <c r="I20" s="37">
        <f t="shared" si="6"/>
        <v>2</v>
      </c>
      <c r="J20" s="37">
        <f t="shared" si="6"/>
        <v>4</v>
      </c>
      <c r="K20" s="37">
        <f t="shared" si="6"/>
        <v>7</v>
      </c>
      <c r="L20" s="37">
        <f t="shared" si="6"/>
        <v>3</v>
      </c>
      <c r="M20" s="37">
        <f t="shared" si="6"/>
        <v>1</v>
      </c>
      <c r="N20" s="37">
        <v>0</v>
      </c>
      <c r="O20" s="47">
        <f t="shared" si="4"/>
        <v>49</v>
      </c>
    </row>
    <row r="21" spans="1:15" x14ac:dyDescent="0.25">
      <c r="A21" s="64" t="s">
        <v>24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6"/>
      <c r="O21" s="47">
        <f>+O6+O14</f>
        <v>287</v>
      </c>
    </row>
  </sheetData>
  <mergeCells count="3">
    <mergeCell ref="A6:N6"/>
    <mergeCell ref="A14:N14"/>
    <mergeCell ref="A21:N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9276-17CB-4310-B268-3D2C2E460FBB}">
  <dimension ref="A1:D15"/>
  <sheetViews>
    <sheetView workbookViewId="0">
      <selection activeCell="E8" sqref="E8"/>
    </sheetView>
  </sheetViews>
  <sheetFormatPr baseColWidth="10" defaultRowHeight="15" x14ac:dyDescent="0.25"/>
  <sheetData>
    <row r="1" spans="1:4" x14ac:dyDescent="0.25">
      <c r="A1" s="58" t="s">
        <v>83</v>
      </c>
      <c r="B1" s="58" t="s">
        <v>82</v>
      </c>
      <c r="C1" s="57"/>
      <c r="D1" s="57"/>
    </row>
    <row r="2" spans="1:4" x14ac:dyDescent="0.25">
      <c r="A2" s="58">
        <v>2015</v>
      </c>
      <c r="B2" s="58">
        <v>550</v>
      </c>
      <c r="C2" s="57"/>
      <c r="D2" s="57"/>
    </row>
    <row r="3" spans="1:4" x14ac:dyDescent="0.25">
      <c r="A3" s="58">
        <v>2016</v>
      </c>
      <c r="B3" s="60">
        <v>720</v>
      </c>
      <c r="C3" s="57"/>
      <c r="D3" s="57"/>
    </row>
    <row r="4" spans="1:4" x14ac:dyDescent="0.25">
      <c r="A4" s="58">
        <v>2017</v>
      </c>
      <c r="B4" s="58">
        <v>680</v>
      </c>
      <c r="C4" s="57"/>
      <c r="D4" s="57"/>
    </row>
    <row r="5" spans="1:4" x14ac:dyDescent="0.25">
      <c r="A5" s="58">
        <v>2018</v>
      </c>
      <c r="B5" s="60">
        <v>680</v>
      </c>
      <c r="C5" s="57"/>
      <c r="D5" s="57"/>
    </row>
    <row r="6" spans="1:4" x14ac:dyDescent="0.25">
      <c r="A6" s="58">
        <v>2019</v>
      </c>
      <c r="B6" s="58">
        <v>810</v>
      </c>
      <c r="C6" s="57"/>
      <c r="D6" s="57"/>
    </row>
    <row r="7" spans="1:4" x14ac:dyDescent="0.25">
      <c r="A7" s="58">
        <v>2020</v>
      </c>
      <c r="B7" s="58">
        <v>920</v>
      </c>
      <c r="C7" s="57"/>
      <c r="D7" s="57"/>
    </row>
    <row r="8" spans="1:4" x14ac:dyDescent="0.25">
      <c r="A8" s="58">
        <v>2021</v>
      </c>
      <c r="B8" s="60">
        <v>1120</v>
      </c>
      <c r="C8" s="57"/>
      <c r="D8" s="57"/>
    </row>
    <row r="9" spans="1:4" x14ac:dyDescent="0.25">
      <c r="A9" s="58">
        <v>2022</v>
      </c>
      <c r="B9" s="58">
        <v>1050</v>
      </c>
      <c r="C9" s="57"/>
      <c r="D9" s="57"/>
    </row>
    <row r="10" spans="1:4" x14ac:dyDescent="0.25">
      <c r="A10" s="58">
        <v>2023</v>
      </c>
      <c r="B10" s="60">
        <v>1250</v>
      </c>
      <c r="C10" s="57"/>
      <c r="D10" s="57"/>
    </row>
    <row r="11" spans="1:4" x14ac:dyDescent="0.25">
      <c r="A11" s="58">
        <v>2024</v>
      </c>
      <c r="B11" s="58">
        <v>1220</v>
      </c>
      <c r="C11" s="57"/>
      <c r="D11" s="57"/>
    </row>
    <row r="14" spans="1:4" x14ac:dyDescent="0.25">
      <c r="A14" s="57" t="s">
        <v>84</v>
      </c>
      <c r="B14" s="57"/>
      <c r="C14" s="57"/>
      <c r="D14" s="59">
        <v>3.2000000000000001E-2</v>
      </c>
    </row>
    <row r="15" spans="1:4" x14ac:dyDescent="0.25">
      <c r="A15" s="57" t="s">
        <v>85</v>
      </c>
      <c r="B15" s="57"/>
      <c r="C15" s="57"/>
      <c r="D15" s="59">
        <v>5.1999999999999998E-2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45CC-441A-4BB2-920B-0A6951DEDC66}">
  <dimension ref="A1:C14"/>
  <sheetViews>
    <sheetView topLeftCell="A7" workbookViewId="0">
      <selection activeCell="C13" sqref="C13"/>
    </sheetView>
  </sheetViews>
  <sheetFormatPr baseColWidth="10" defaultColWidth="22.5703125" defaultRowHeight="15" x14ac:dyDescent="0.25"/>
  <sheetData>
    <row r="1" spans="1:3" ht="27" thickBot="1" x14ac:dyDescent="0.3">
      <c r="A1" s="48" t="s">
        <v>66</v>
      </c>
      <c r="B1" s="49" t="s">
        <v>67</v>
      </c>
      <c r="C1" s="50" t="s">
        <v>68</v>
      </c>
    </row>
    <row r="2" spans="1:3" ht="24" thickBot="1" x14ac:dyDescent="0.3">
      <c r="A2" s="51" t="s">
        <v>69</v>
      </c>
      <c r="B2" s="52">
        <v>1752</v>
      </c>
      <c r="C2" s="53">
        <f>$B$14/B2</f>
        <v>0</v>
      </c>
    </row>
    <row r="3" spans="1:3" ht="24" thickBot="1" x14ac:dyDescent="0.3">
      <c r="A3" s="51" t="s">
        <v>70</v>
      </c>
      <c r="B3" s="52">
        <v>1518</v>
      </c>
      <c r="C3" s="53">
        <f t="shared" ref="C3:C13" si="0">$B$14/B3</f>
        <v>0</v>
      </c>
    </row>
    <row r="4" spans="1:3" ht="24" thickBot="1" x14ac:dyDescent="0.3">
      <c r="A4" s="51" t="s">
        <v>71</v>
      </c>
      <c r="B4" s="52">
        <v>1424</v>
      </c>
      <c r="C4" s="53">
        <f t="shared" si="0"/>
        <v>0</v>
      </c>
    </row>
    <row r="5" spans="1:3" ht="24" thickBot="1" x14ac:dyDescent="0.3">
      <c r="A5" s="51" t="s">
        <v>72</v>
      </c>
      <c r="B5" s="52">
        <v>1500</v>
      </c>
      <c r="C5" s="53">
        <f t="shared" si="0"/>
        <v>0</v>
      </c>
    </row>
    <row r="6" spans="1:3" ht="24" thickBot="1" x14ac:dyDescent="0.3">
      <c r="A6" s="51" t="s">
        <v>73</v>
      </c>
      <c r="B6" s="52">
        <v>1339</v>
      </c>
      <c r="C6" s="53">
        <f t="shared" si="0"/>
        <v>0</v>
      </c>
    </row>
    <row r="7" spans="1:3" ht="24" thickBot="1" x14ac:dyDescent="0.3">
      <c r="A7" s="51" t="s">
        <v>74</v>
      </c>
      <c r="B7" s="52">
        <v>1547</v>
      </c>
      <c r="C7" s="53">
        <f t="shared" si="0"/>
        <v>0</v>
      </c>
    </row>
    <row r="8" spans="1:3" ht="24" thickBot="1" x14ac:dyDescent="0.3">
      <c r="A8" s="51" t="s">
        <v>75</v>
      </c>
      <c r="B8" s="52">
        <v>1922</v>
      </c>
      <c r="C8" s="53">
        <f t="shared" si="0"/>
        <v>0</v>
      </c>
    </row>
    <row r="9" spans="1:3" ht="24" thickBot="1" x14ac:dyDescent="0.3">
      <c r="A9" s="51" t="s">
        <v>76</v>
      </c>
      <c r="B9" s="52">
        <v>2039</v>
      </c>
      <c r="C9" s="53">
        <f t="shared" si="0"/>
        <v>0</v>
      </c>
    </row>
    <row r="10" spans="1:3" ht="24" thickBot="1" x14ac:dyDescent="0.3">
      <c r="A10" s="51" t="s">
        <v>77</v>
      </c>
      <c r="B10" s="52">
        <v>1666</v>
      </c>
      <c r="C10" s="53">
        <f t="shared" si="0"/>
        <v>0</v>
      </c>
    </row>
    <row r="11" spans="1:3" ht="24" thickBot="1" x14ac:dyDescent="0.3">
      <c r="A11" s="51" t="s">
        <v>78</v>
      </c>
      <c r="B11" s="52">
        <v>1648</v>
      </c>
      <c r="C11" s="53">
        <f t="shared" si="0"/>
        <v>0</v>
      </c>
    </row>
    <row r="12" spans="1:3" ht="24" thickBot="1" x14ac:dyDescent="0.3">
      <c r="A12" s="51" t="s">
        <v>79</v>
      </c>
      <c r="B12" s="52">
        <v>1489</v>
      </c>
      <c r="C12" s="53">
        <f t="shared" si="0"/>
        <v>0</v>
      </c>
    </row>
    <row r="13" spans="1:3" ht="24" thickBot="1" x14ac:dyDescent="0.3">
      <c r="A13" s="51" t="s">
        <v>80</v>
      </c>
      <c r="B13" s="52">
        <v>1810</v>
      </c>
      <c r="C13" s="53">
        <f t="shared" si="0"/>
        <v>0</v>
      </c>
    </row>
    <row r="14" spans="1:3" ht="24" thickBot="1" x14ac:dyDescent="0.3">
      <c r="A14" s="54" t="s">
        <v>81</v>
      </c>
      <c r="B14" s="55"/>
      <c r="C14" s="5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8582-8723-426B-9696-D76DC86B8F5C}">
  <dimension ref="A1:F31"/>
  <sheetViews>
    <sheetView workbookViewId="0">
      <selection activeCell="K5" sqref="K5"/>
    </sheetView>
  </sheetViews>
  <sheetFormatPr baseColWidth="10" defaultRowHeight="15" x14ac:dyDescent="0.25"/>
  <cols>
    <col min="6" max="6" width="13.5703125" customWidth="1"/>
  </cols>
  <sheetData>
    <row r="1" spans="1:6" ht="36" x14ac:dyDescent="0.25">
      <c r="A1" s="61" t="s">
        <v>86</v>
      </c>
      <c r="B1" s="61" t="s">
        <v>87</v>
      </c>
      <c r="C1" s="61" t="s">
        <v>88</v>
      </c>
      <c r="D1" s="61" t="s">
        <v>89</v>
      </c>
      <c r="E1" s="61" t="s">
        <v>90</v>
      </c>
      <c r="F1" s="61" t="s">
        <v>91</v>
      </c>
    </row>
    <row r="2" spans="1:6" ht="15.75" thickBot="1" x14ac:dyDescent="0.3">
      <c r="A2" s="61">
        <v>1</v>
      </c>
      <c r="B2" s="62">
        <v>50</v>
      </c>
      <c r="C2" s="62">
        <v>53</v>
      </c>
      <c r="D2" s="62">
        <v>36</v>
      </c>
      <c r="E2" s="62">
        <v>32</v>
      </c>
      <c r="F2" s="62">
        <v>20</v>
      </c>
    </row>
    <row r="3" spans="1:6" ht="15.75" thickBot="1" x14ac:dyDescent="0.3">
      <c r="A3" s="61">
        <v>2</v>
      </c>
      <c r="B3" s="62">
        <v>53</v>
      </c>
      <c r="C3" s="62">
        <v>55</v>
      </c>
      <c r="D3" s="62">
        <v>39</v>
      </c>
      <c r="E3" s="62">
        <v>32</v>
      </c>
      <c r="F3" s="62">
        <v>22</v>
      </c>
    </row>
    <row r="4" spans="1:6" ht="15.75" thickBot="1" x14ac:dyDescent="0.3">
      <c r="A4" s="61">
        <v>3</v>
      </c>
      <c r="B4" s="62">
        <v>53</v>
      </c>
      <c r="C4" s="62">
        <v>56</v>
      </c>
      <c r="D4" s="62">
        <v>39</v>
      </c>
      <c r="E4" s="62">
        <v>35</v>
      </c>
      <c r="F4" s="62">
        <v>24</v>
      </c>
    </row>
    <row r="5" spans="1:6" ht="15.75" thickBot="1" x14ac:dyDescent="0.3">
      <c r="A5" s="61">
        <v>4</v>
      </c>
      <c r="B5" s="62">
        <v>54</v>
      </c>
      <c r="C5" s="62">
        <v>56</v>
      </c>
      <c r="D5" s="62">
        <v>39</v>
      </c>
      <c r="E5" s="62">
        <v>35</v>
      </c>
      <c r="F5" s="62">
        <v>30</v>
      </c>
    </row>
    <row r="6" spans="1:6" ht="15.75" thickBot="1" x14ac:dyDescent="0.3">
      <c r="A6" s="61">
        <v>5</v>
      </c>
      <c r="B6" s="62">
        <v>55</v>
      </c>
      <c r="C6" s="62">
        <v>57</v>
      </c>
      <c r="D6" s="62">
        <v>39</v>
      </c>
      <c r="E6" s="62">
        <v>35</v>
      </c>
      <c r="F6" s="62">
        <v>30</v>
      </c>
    </row>
    <row r="7" spans="1:6" ht="15.75" thickBot="1" x14ac:dyDescent="0.3">
      <c r="A7" s="61">
        <v>6</v>
      </c>
      <c r="B7" s="62">
        <v>56</v>
      </c>
      <c r="C7" s="62">
        <v>57</v>
      </c>
      <c r="D7" s="62">
        <v>40</v>
      </c>
      <c r="E7" s="62">
        <v>36</v>
      </c>
      <c r="F7" s="62">
        <v>30</v>
      </c>
    </row>
    <row r="8" spans="1:6" ht="15.75" thickBot="1" x14ac:dyDescent="0.3">
      <c r="A8" s="61">
        <v>7</v>
      </c>
      <c r="B8" s="62">
        <v>56</v>
      </c>
      <c r="C8" s="62">
        <v>57</v>
      </c>
      <c r="D8" s="62">
        <v>40</v>
      </c>
      <c r="E8" s="62">
        <v>36</v>
      </c>
      <c r="F8" s="62">
        <v>30</v>
      </c>
    </row>
    <row r="9" spans="1:6" ht="15.75" thickBot="1" x14ac:dyDescent="0.3">
      <c r="A9" s="61">
        <v>8</v>
      </c>
      <c r="B9" s="62">
        <v>56</v>
      </c>
      <c r="C9" s="62">
        <v>57</v>
      </c>
      <c r="D9" s="62">
        <v>41</v>
      </c>
      <c r="E9" s="62">
        <v>37</v>
      </c>
      <c r="F9" s="62">
        <v>31</v>
      </c>
    </row>
    <row r="10" spans="1:6" ht="15.75" thickBot="1" x14ac:dyDescent="0.3">
      <c r="A10" s="61">
        <v>9</v>
      </c>
      <c r="B10" s="62">
        <v>57</v>
      </c>
      <c r="C10" s="62">
        <v>57</v>
      </c>
      <c r="D10" s="62">
        <v>41</v>
      </c>
      <c r="E10" s="62">
        <v>37</v>
      </c>
      <c r="F10" s="62">
        <v>31</v>
      </c>
    </row>
    <row r="11" spans="1:6" ht="15.75" thickBot="1" x14ac:dyDescent="0.3">
      <c r="A11" s="61">
        <v>10</v>
      </c>
      <c r="B11" s="62">
        <v>57</v>
      </c>
      <c r="C11" s="62">
        <v>57</v>
      </c>
      <c r="D11" s="62">
        <v>41</v>
      </c>
      <c r="E11" s="62">
        <v>38</v>
      </c>
      <c r="F11" s="62">
        <v>32</v>
      </c>
    </row>
    <row r="12" spans="1:6" ht="15.75" thickBot="1" x14ac:dyDescent="0.3">
      <c r="A12" s="61">
        <v>11</v>
      </c>
      <c r="B12" s="62">
        <v>58</v>
      </c>
      <c r="C12" s="62">
        <v>58</v>
      </c>
      <c r="D12" s="62">
        <v>42</v>
      </c>
      <c r="E12" s="62">
        <v>38</v>
      </c>
      <c r="F12" s="62">
        <v>32</v>
      </c>
    </row>
    <row r="13" spans="1:6" ht="15.75" thickBot="1" x14ac:dyDescent="0.3">
      <c r="A13" s="61">
        <v>12</v>
      </c>
      <c r="B13" s="62">
        <v>58</v>
      </c>
      <c r="C13" s="62">
        <v>58</v>
      </c>
      <c r="D13" s="62">
        <v>42</v>
      </c>
      <c r="E13" s="62">
        <v>38</v>
      </c>
      <c r="F13" s="62">
        <v>32</v>
      </c>
    </row>
    <row r="14" spans="1:6" ht="15.75" thickBot="1" x14ac:dyDescent="0.3">
      <c r="A14" s="61">
        <v>13</v>
      </c>
      <c r="B14" s="62">
        <v>58</v>
      </c>
      <c r="C14" s="62">
        <v>58</v>
      </c>
      <c r="D14" s="62">
        <v>43</v>
      </c>
      <c r="E14" s="62">
        <v>38</v>
      </c>
      <c r="F14" s="62">
        <v>32</v>
      </c>
    </row>
    <row r="15" spans="1:6" ht="15.75" thickBot="1" x14ac:dyDescent="0.3">
      <c r="A15" s="61">
        <v>14</v>
      </c>
      <c r="B15" s="62">
        <v>59</v>
      </c>
      <c r="C15" s="62">
        <v>58</v>
      </c>
      <c r="D15" s="62">
        <v>43</v>
      </c>
      <c r="E15" s="62">
        <v>39</v>
      </c>
      <c r="F15" s="62">
        <v>33</v>
      </c>
    </row>
    <row r="16" spans="1:6" ht="15.75" thickBot="1" x14ac:dyDescent="0.3">
      <c r="A16" s="61">
        <v>15</v>
      </c>
      <c r="B16" s="62">
        <v>59</v>
      </c>
      <c r="C16" s="62">
        <v>59</v>
      </c>
      <c r="D16" s="62">
        <v>43</v>
      </c>
      <c r="E16" s="62">
        <v>39</v>
      </c>
      <c r="F16" s="62">
        <v>33</v>
      </c>
    </row>
    <row r="17" spans="1:6" ht="15.75" thickBot="1" x14ac:dyDescent="0.3">
      <c r="A17" s="61">
        <v>16</v>
      </c>
      <c r="B17" s="62">
        <v>59</v>
      </c>
      <c r="C17" s="62">
        <v>59</v>
      </c>
      <c r="D17" s="62">
        <v>44</v>
      </c>
      <c r="E17" s="62">
        <v>39</v>
      </c>
      <c r="F17" s="62">
        <v>34</v>
      </c>
    </row>
    <row r="18" spans="1:6" ht="15.75" thickBot="1" x14ac:dyDescent="0.3">
      <c r="A18" s="61">
        <v>17</v>
      </c>
      <c r="B18" s="62">
        <v>60</v>
      </c>
      <c r="C18" s="62">
        <v>59</v>
      </c>
      <c r="D18" s="62">
        <v>44</v>
      </c>
      <c r="E18" s="62">
        <v>39</v>
      </c>
      <c r="F18" s="62">
        <v>35</v>
      </c>
    </row>
    <row r="19" spans="1:6" ht="15.75" thickBot="1" x14ac:dyDescent="0.3">
      <c r="A19" s="61">
        <v>18</v>
      </c>
      <c r="B19" s="62">
        <v>60</v>
      </c>
      <c r="C19" s="62">
        <v>59</v>
      </c>
      <c r="D19" s="62">
        <v>44</v>
      </c>
      <c r="E19" s="62">
        <v>40</v>
      </c>
      <c r="F19" s="62">
        <v>35</v>
      </c>
    </row>
    <row r="20" spans="1:6" ht="15.75" thickBot="1" x14ac:dyDescent="0.3">
      <c r="A20" s="61">
        <v>19</v>
      </c>
      <c r="B20" s="62">
        <v>60</v>
      </c>
      <c r="C20" s="62">
        <v>60</v>
      </c>
      <c r="D20" s="62">
        <v>44</v>
      </c>
      <c r="E20" s="62">
        <v>40</v>
      </c>
      <c r="F20" s="62">
        <v>35</v>
      </c>
    </row>
    <row r="21" spans="1:6" ht="15.75" thickBot="1" x14ac:dyDescent="0.3">
      <c r="A21" s="61">
        <v>20</v>
      </c>
      <c r="B21" s="62">
        <v>60</v>
      </c>
      <c r="C21" s="62">
        <v>60</v>
      </c>
      <c r="D21" s="62">
        <v>45</v>
      </c>
      <c r="E21" s="62">
        <v>40</v>
      </c>
      <c r="F21" s="62">
        <v>35</v>
      </c>
    </row>
    <row r="22" spans="1:6" ht="15.75" thickBot="1" x14ac:dyDescent="0.3">
      <c r="A22" s="61">
        <v>21</v>
      </c>
      <c r="B22" s="62">
        <v>61</v>
      </c>
      <c r="C22" s="62">
        <v>60</v>
      </c>
      <c r="D22" s="62">
        <v>45</v>
      </c>
      <c r="E22" s="62">
        <v>41</v>
      </c>
      <c r="F22" s="62">
        <v>37</v>
      </c>
    </row>
    <row r="23" spans="1:6" ht="15.75" thickBot="1" x14ac:dyDescent="0.3">
      <c r="A23" s="61">
        <v>22</v>
      </c>
      <c r="B23" s="62">
        <v>61</v>
      </c>
      <c r="C23" s="62">
        <v>60</v>
      </c>
      <c r="D23" s="62">
        <v>45</v>
      </c>
      <c r="E23" s="62">
        <v>42</v>
      </c>
      <c r="F23" s="62">
        <v>37</v>
      </c>
    </row>
    <row r="24" spans="1:6" ht="15.75" thickBot="1" x14ac:dyDescent="0.3">
      <c r="A24" s="61">
        <v>23</v>
      </c>
      <c r="B24" s="62">
        <v>61</v>
      </c>
      <c r="C24" s="62">
        <v>60</v>
      </c>
      <c r="D24" s="62">
        <v>45</v>
      </c>
      <c r="E24" s="62">
        <v>42</v>
      </c>
      <c r="F24" s="62">
        <v>37</v>
      </c>
    </row>
    <row r="25" spans="1:6" ht="15.75" thickBot="1" x14ac:dyDescent="0.3">
      <c r="A25" s="61">
        <v>24</v>
      </c>
      <c r="B25" s="62">
        <v>61</v>
      </c>
      <c r="C25" s="62">
        <v>60</v>
      </c>
      <c r="D25" s="62">
        <v>46</v>
      </c>
      <c r="E25" s="62">
        <v>42</v>
      </c>
      <c r="F25" s="62">
        <v>37</v>
      </c>
    </row>
    <row r="26" spans="1:6" ht="15.75" thickBot="1" x14ac:dyDescent="0.3">
      <c r="A26" s="61">
        <v>25</v>
      </c>
      <c r="B26" s="62">
        <v>61</v>
      </c>
      <c r="C26" s="62">
        <v>61</v>
      </c>
      <c r="D26" s="62">
        <v>46</v>
      </c>
      <c r="E26" s="62">
        <v>42</v>
      </c>
      <c r="F26" s="62">
        <v>38</v>
      </c>
    </row>
    <row r="27" spans="1:6" ht="15.75" thickBot="1" x14ac:dyDescent="0.3">
      <c r="A27" s="61">
        <v>26</v>
      </c>
      <c r="B27" s="62">
        <v>62</v>
      </c>
      <c r="C27" s="62">
        <v>61</v>
      </c>
      <c r="D27" s="62">
        <v>46</v>
      </c>
      <c r="E27" s="62">
        <v>42</v>
      </c>
      <c r="F27" s="62">
        <v>38</v>
      </c>
    </row>
    <row r="28" spans="1:6" ht="15.75" thickBot="1" x14ac:dyDescent="0.3">
      <c r="A28" s="61">
        <v>27</v>
      </c>
      <c r="B28" s="62">
        <v>62</v>
      </c>
      <c r="C28" s="62">
        <v>61</v>
      </c>
      <c r="D28" s="62">
        <v>47</v>
      </c>
      <c r="E28" s="62">
        <v>43</v>
      </c>
      <c r="F28" s="62">
        <v>39</v>
      </c>
    </row>
    <row r="29" spans="1:6" ht="15.75" thickBot="1" x14ac:dyDescent="0.3">
      <c r="A29" s="61">
        <v>28</v>
      </c>
      <c r="B29" s="62">
        <v>62</v>
      </c>
      <c r="C29" s="62">
        <v>61</v>
      </c>
      <c r="D29" s="62">
        <v>50</v>
      </c>
      <c r="E29" s="62">
        <v>44</v>
      </c>
      <c r="F29" s="62">
        <v>39</v>
      </c>
    </row>
    <row r="30" spans="1:6" ht="15.75" thickBot="1" x14ac:dyDescent="0.3">
      <c r="A30" s="61">
        <v>29</v>
      </c>
      <c r="B30" s="62">
        <v>62</v>
      </c>
      <c r="C30" s="62">
        <v>62</v>
      </c>
      <c r="D30" s="62">
        <v>50</v>
      </c>
      <c r="E30" s="62">
        <v>44</v>
      </c>
      <c r="F30" s="62">
        <v>39</v>
      </c>
    </row>
    <row r="31" spans="1:6" ht="15.75" thickBot="1" x14ac:dyDescent="0.3">
      <c r="A31" s="61">
        <v>30</v>
      </c>
      <c r="B31" s="62">
        <v>62</v>
      </c>
      <c r="C31" s="62">
        <v>62</v>
      </c>
      <c r="D31" s="62">
        <v>50</v>
      </c>
      <c r="E31" s="62">
        <v>46</v>
      </c>
      <c r="F31" s="62">
        <v>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1638-4808-4EB4-B3B1-2CF57D8DE92E}">
  <dimension ref="A1:P37"/>
  <sheetViews>
    <sheetView zoomScaleNormal="100" workbookViewId="0">
      <selection activeCell="C3" sqref="C3:N5"/>
    </sheetView>
  </sheetViews>
  <sheetFormatPr baseColWidth="10" defaultColWidth="11.42578125" defaultRowHeight="15" x14ac:dyDescent="0.25"/>
  <cols>
    <col min="1" max="2" width="11.42578125" style="76"/>
    <col min="3" max="3" width="12.5703125" style="76" bestFit="1" customWidth="1"/>
    <col min="4" max="16384" width="11.42578125" style="76"/>
  </cols>
  <sheetData>
    <row r="1" spans="1:16" x14ac:dyDescent="0.25">
      <c r="A1" s="78"/>
      <c r="B1" s="78"/>
      <c r="C1" s="79" t="s">
        <v>100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80" t="s">
        <v>82</v>
      </c>
    </row>
    <row r="2" spans="1:16" x14ac:dyDescent="0.25">
      <c r="A2" s="81" t="s">
        <v>83</v>
      </c>
      <c r="B2" s="82" t="s">
        <v>101</v>
      </c>
      <c r="C2" s="83" t="s">
        <v>102</v>
      </c>
      <c r="D2" s="83" t="s">
        <v>103</v>
      </c>
      <c r="E2" s="83" t="s">
        <v>104</v>
      </c>
      <c r="F2" s="83" t="s">
        <v>105</v>
      </c>
      <c r="G2" s="83" t="s">
        <v>106</v>
      </c>
      <c r="H2" s="83" t="s">
        <v>107</v>
      </c>
      <c r="I2" s="83" t="s">
        <v>108</v>
      </c>
      <c r="J2" s="83" t="s">
        <v>109</v>
      </c>
      <c r="K2" s="83" t="s">
        <v>110</v>
      </c>
      <c r="L2" s="83" t="s">
        <v>111</v>
      </c>
      <c r="M2" s="83" t="s">
        <v>112</v>
      </c>
      <c r="N2" s="83" t="s">
        <v>113</v>
      </c>
      <c r="O2" s="84"/>
    </row>
    <row r="3" spans="1:16" x14ac:dyDescent="0.25">
      <c r="A3" s="81"/>
      <c r="B3" s="82" t="s">
        <v>114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4"/>
    </row>
    <row r="4" spans="1:16" x14ac:dyDescent="0.25">
      <c r="A4" s="81"/>
      <c r="B4" s="85" t="s">
        <v>115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4"/>
    </row>
    <row r="5" spans="1:16" x14ac:dyDescent="0.25">
      <c r="A5" s="81"/>
      <c r="B5" s="87" t="s">
        <v>116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4"/>
    </row>
    <row r="6" spans="1:16" x14ac:dyDescent="0.25">
      <c r="A6" s="89">
        <v>2020</v>
      </c>
      <c r="B6" s="90" t="s">
        <v>117</v>
      </c>
      <c r="C6" s="91">
        <f>C3</f>
        <v>0</v>
      </c>
      <c r="D6" s="91">
        <f>D3</f>
        <v>0</v>
      </c>
      <c r="E6" s="91">
        <f t="shared" ref="E6:N6" si="0">E3</f>
        <v>0</v>
      </c>
      <c r="F6" s="91">
        <f t="shared" si="0"/>
        <v>0</v>
      </c>
      <c r="G6" s="91">
        <f t="shared" si="0"/>
        <v>0</v>
      </c>
      <c r="H6" s="91">
        <f t="shared" si="0"/>
        <v>0</v>
      </c>
      <c r="I6" s="91">
        <f t="shared" si="0"/>
        <v>0</v>
      </c>
      <c r="J6" s="91">
        <f t="shared" si="0"/>
        <v>0</v>
      </c>
      <c r="K6" s="91">
        <f t="shared" si="0"/>
        <v>0</v>
      </c>
      <c r="L6" s="91">
        <f t="shared" si="0"/>
        <v>0</v>
      </c>
      <c r="M6" s="91">
        <f t="shared" si="0"/>
        <v>0</v>
      </c>
      <c r="N6" s="91">
        <f t="shared" si="0"/>
        <v>0</v>
      </c>
      <c r="O6" s="89">
        <f>SUM(C6:N6)</f>
        <v>0</v>
      </c>
      <c r="P6" s="76">
        <f>O6*365</f>
        <v>0</v>
      </c>
    </row>
    <row r="7" spans="1:16" x14ac:dyDescent="0.25">
      <c r="A7" s="89">
        <f>+A6+1</f>
        <v>2021</v>
      </c>
      <c r="B7" s="89" t="s">
        <v>118</v>
      </c>
      <c r="C7" s="89">
        <f>($C$3*$C$4*$C$5)+C6</f>
        <v>0</v>
      </c>
      <c r="D7" s="89">
        <f>($D$3*$D$4*$D$5)+D6</f>
        <v>0</v>
      </c>
      <c r="E7" s="89">
        <f>($E$3*$E$4*$E$5)+E6</f>
        <v>0</v>
      </c>
      <c r="F7" s="89">
        <f>($F$3*$F$4*$F$5)+F6</f>
        <v>0</v>
      </c>
      <c r="G7" s="89">
        <f>($G$3*$G$4*$G$5)+G6</f>
        <v>0</v>
      </c>
      <c r="H7" s="89">
        <f>($H$3*$H$4*$H$5)+H6</f>
        <v>0</v>
      </c>
      <c r="I7" s="89">
        <f>($I$3*$I$4*$I$5)+I6</f>
        <v>0</v>
      </c>
      <c r="J7" s="89">
        <f>($J$3*$J$4*$J$5)+J6</f>
        <v>0</v>
      </c>
      <c r="K7" s="89">
        <f>($K$3*$K$4*$K$5)+K6</f>
        <v>0</v>
      </c>
      <c r="L7" s="89">
        <f>($L$3*$L$4*$L$5)+L6</f>
        <v>0</v>
      </c>
      <c r="M7" s="89">
        <f>($M$3*$M$4*$M$5)+M6</f>
        <v>0</v>
      </c>
      <c r="N7" s="89">
        <f>($N$3*$N$4*$N$5)+N6</f>
        <v>0</v>
      </c>
      <c r="O7" s="89">
        <f t="shared" ref="O7:O30" si="1">SUM(C7:N7)</f>
        <v>0</v>
      </c>
      <c r="P7" s="76">
        <f t="shared" ref="P7:P30" si="2">O7*365</f>
        <v>0</v>
      </c>
    </row>
    <row r="8" spans="1:16" x14ac:dyDescent="0.25">
      <c r="A8" s="89">
        <f t="shared" ref="A8:A30" si="3">+A7+1</f>
        <v>2022</v>
      </c>
      <c r="B8" s="92" t="s">
        <v>119</v>
      </c>
      <c r="C8" s="91">
        <f>($C$3*$C$4*$C$5)+C7</f>
        <v>0</v>
      </c>
      <c r="D8" s="91">
        <f t="shared" ref="D8:D30" si="4">($D$3*$D$4*$D$5)+D7</f>
        <v>0</v>
      </c>
      <c r="E8" s="91">
        <f t="shared" ref="E8:E30" si="5">($E$3*$E$4*$E$5)+E7</f>
        <v>0</v>
      </c>
      <c r="F8" s="91">
        <f t="shared" ref="F8:F30" si="6">($F$3*$F$4*$F$5)+F7</f>
        <v>0</v>
      </c>
      <c r="G8" s="91">
        <f t="shared" ref="G8:G30" si="7">($G$3*$G$4*$G$5)+G7</f>
        <v>0</v>
      </c>
      <c r="H8" s="91">
        <f t="shared" ref="H8:H30" si="8">($H$3*$H$4*$H$5)+H7</f>
        <v>0</v>
      </c>
      <c r="I8" s="91">
        <f t="shared" ref="I8:I30" si="9">($I$3*$I$4*$I$5)+I7</f>
        <v>0</v>
      </c>
      <c r="J8" s="91">
        <f t="shared" ref="J8:J30" si="10">($J$3*$J$4*$J$5)+J7</f>
        <v>0</v>
      </c>
      <c r="K8" s="91">
        <f t="shared" ref="K8:K30" si="11">($K$3*$K$4*$K$5)+K7</f>
        <v>0</v>
      </c>
      <c r="L8" s="91">
        <f t="shared" ref="L8:L30" si="12">($L$3*$L$4*$L$5)+L7</f>
        <v>0</v>
      </c>
      <c r="M8" s="91">
        <f t="shared" ref="M8:M30" si="13">($M$3*$M$4*$M$5)+M7</f>
        <v>0</v>
      </c>
      <c r="N8" s="91">
        <f t="shared" ref="N8:N30" si="14">($N$3*$N$4*$N$5)+N7</f>
        <v>0</v>
      </c>
      <c r="O8" s="89">
        <f t="shared" si="1"/>
        <v>0</v>
      </c>
      <c r="P8" s="76">
        <f t="shared" si="2"/>
        <v>0</v>
      </c>
    </row>
    <row r="9" spans="1:16" x14ac:dyDescent="0.25">
      <c r="A9" s="89">
        <f t="shared" si="3"/>
        <v>2023</v>
      </c>
      <c r="B9" s="93"/>
      <c r="C9" s="91">
        <f>($C$3*$C$4*$C$5)+C8</f>
        <v>0</v>
      </c>
      <c r="D9" s="91">
        <f t="shared" si="4"/>
        <v>0</v>
      </c>
      <c r="E9" s="91">
        <f t="shared" si="5"/>
        <v>0</v>
      </c>
      <c r="F9" s="91">
        <f t="shared" si="6"/>
        <v>0</v>
      </c>
      <c r="G9" s="91">
        <f t="shared" si="7"/>
        <v>0</v>
      </c>
      <c r="H9" s="91">
        <f t="shared" si="8"/>
        <v>0</v>
      </c>
      <c r="I9" s="91">
        <f t="shared" si="9"/>
        <v>0</v>
      </c>
      <c r="J9" s="91">
        <f t="shared" si="10"/>
        <v>0</v>
      </c>
      <c r="K9" s="91">
        <f t="shared" si="11"/>
        <v>0</v>
      </c>
      <c r="L9" s="91">
        <f t="shared" si="12"/>
        <v>0</v>
      </c>
      <c r="M9" s="91">
        <f t="shared" si="13"/>
        <v>0</v>
      </c>
      <c r="N9" s="91">
        <f t="shared" si="14"/>
        <v>0</v>
      </c>
      <c r="O9" s="89">
        <f t="shared" si="1"/>
        <v>0</v>
      </c>
      <c r="P9" s="76">
        <f t="shared" si="2"/>
        <v>0</v>
      </c>
    </row>
    <row r="10" spans="1:16" x14ac:dyDescent="0.25">
      <c r="A10" s="89">
        <f t="shared" si="3"/>
        <v>2024</v>
      </c>
      <c r="B10" s="94"/>
      <c r="C10" s="91">
        <f t="shared" ref="C10:C30" si="15">($C$3*$C$4*$C$5)+C9</f>
        <v>0</v>
      </c>
      <c r="D10" s="91">
        <f t="shared" si="4"/>
        <v>0</v>
      </c>
      <c r="E10" s="91">
        <f t="shared" si="5"/>
        <v>0</v>
      </c>
      <c r="F10" s="91">
        <f t="shared" si="6"/>
        <v>0</v>
      </c>
      <c r="G10" s="91">
        <f t="shared" si="7"/>
        <v>0</v>
      </c>
      <c r="H10" s="91">
        <f t="shared" si="8"/>
        <v>0</v>
      </c>
      <c r="I10" s="91">
        <f t="shared" si="9"/>
        <v>0</v>
      </c>
      <c r="J10" s="91">
        <f t="shared" si="10"/>
        <v>0</v>
      </c>
      <c r="K10" s="91">
        <f t="shared" si="11"/>
        <v>0</v>
      </c>
      <c r="L10" s="91">
        <f t="shared" si="12"/>
        <v>0</v>
      </c>
      <c r="M10" s="91">
        <f t="shared" si="13"/>
        <v>0</v>
      </c>
      <c r="N10" s="91">
        <f t="shared" si="14"/>
        <v>0</v>
      </c>
      <c r="O10" s="89">
        <f t="shared" si="1"/>
        <v>0</v>
      </c>
      <c r="P10" s="76">
        <f t="shared" si="2"/>
        <v>0</v>
      </c>
    </row>
    <row r="11" spans="1:16" x14ac:dyDescent="0.25">
      <c r="A11" s="89">
        <f t="shared" si="3"/>
        <v>2025</v>
      </c>
      <c r="B11" s="95" t="s">
        <v>120</v>
      </c>
      <c r="C11" s="91">
        <f t="shared" si="15"/>
        <v>0</v>
      </c>
      <c r="D11" s="91">
        <f t="shared" si="4"/>
        <v>0</v>
      </c>
      <c r="E11" s="91">
        <f t="shared" si="5"/>
        <v>0</v>
      </c>
      <c r="F11" s="91">
        <f t="shared" si="6"/>
        <v>0</v>
      </c>
      <c r="G11" s="91">
        <f t="shared" si="7"/>
        <v>0</v>
      </c>
      <c r="H11" s="91">
        <f t="shared" si="8"/>
        <v>0</v>
      </c>
      <c r="I11" s="91">
        <f t="shared" si="9"/>
        <v>0</v>
      </c>
      <c r="J11" s="91">
        <f t="shared" si="10"/>
        <v>0</v>
      </c>
      <c r="K11" s="91">
        <f t="shared" si="11"/>
        <v>0</v>
      </c>
      <c r="L11" s="91">
        <f t="shared" si="12"/>
        <v>0</v>
      </c>
      <c r="M11" s="91">
        <f t="shared" si="13"/>
        <v>0</v>
      </c>
      <c r="N11" s="91">
        <f t="shared" si="14"/>
        <v>0</v>
      </c>
      <c r="O11" s="89">
        <f t="shared" si="1"/>
        <v>0</v>
      </c>
      <c r="P11" s="76">
        <f t="shared" si="2"/>
        <v>0</v>
      </c>
    </row>
    <row r="12" spans="1:16" x14ac:dyDescent="0.25">
      <c r="A12" s="89">
        <f t="shared" si="3"/>
        <v>2026</v>
      </c>
      <c r="B12" s="96"/>
      <c r="C12" s="91">
        <f t="shared" si="15"/>
        <v>0</v>
      </c>
      <c r="D12" s="91">
        <f t="shared" si="4"/>
        <v>0</v>
      </c>
      <c r="E12" s="91">
        <f t="shared" si="5"/>
        <v>0</v>
      </c>
      <c r="F12" s="91">
        <f t="shared" si="6"/>
        <v>0</v>
      </c>
      <c r="G12" s="91">
        <f t="shared" si="7"/>
        <v>0</v>
      </c>
      <c r="H12" s="91">
        <f t="shared" si="8"/>
        <v>0</v>
      </c>
      <c r="I12" s="91">
        <f t="shared" si="9"/>
        <v>0</v>
      </c>
      <c r="J12" s="91">
        <f t="shared" si="10"/>
        <v>0</v>
      </c>
      <c r="K12" s="91">
        <f t="shared" si="11"/>
        <v>0</v>
      </c>
      <c r="L12" s="91">
        <f t="shared" si="12"/>
        <v>0</v>
      </c>
      <c r="M12" s="91">
        <f t="shared" si="13"/>
        <v>0</v>
      </c>
      <c r="N12" s="91">
        <f t="shared" si="14"/>
        <v>0</v>
      </c>
      <c r="O12" s="89">
        <f t="shared" si="1"/>
        <v>0</v>
      </c>
      <c r="P12" s="76">
        <f t="shared" si="2"/>
        <v>0</v>
      </c>
    </row>
    <row r="13" spans="1:16" x14ac:dyDescent="0.25">
      <c r="A13" s="89">
        <f t="shared" si="3"/>
        <v>2027</v>
      </c>
      <c r="B13" s="96"/>
      <c r="C13" s="91">
        <f t="shared" si="15"/>
        <v>0</v>
      </c>
      <c r="D13" s="91">
        <f t="shared" si="4"/>
        <v>0</v>
      </c>
      <c r="E13" s="91">
        <f t="shared" si="5"/>
        <v>0</v>
      </c>
      <c r="F13" s="91">
        <f t="shared" si="6"/>
        <v>0</v>
      </c>
      <c r="G13" s="91">
        <f t="shared" si="7"/>
        <v>0</v>
      </c>
      <c r="H13" s="91">
        <f t="shared" si="8"/>
        <v>0</v>
      </c>
      <c r="I13" s="91">
        <f t="shared" si="9"/>
        <v>0</v>
      </c>
      <c r="J13" s="91">
        <f t="shared" si="10"/>
        <v>0</v>
      </c>
      <c r="K13" s="91">
        <f t="shared" si="11"/>
        <v>0</v>
      </c>
      <c r="L13" s="91">
        <f t="shared" si="12"/>
        <v>0</v>
      </c>
      <c r="M13" s="91">
        <f t="shared" si="13"/>
        <v>0</v>
      </c>
      <c r="N13" s="91">
        <f t="shared" si="14"/>
        <v>0</v>
      </c>
      <c r="O13" s="89">
        <f t="shared" si="1"/>
        <v>0</v>
      </c>
      <c r="P13" s="76">
        <f t="shared" si="2"/>
        <v>0</v>
      </c>
    </row>
    <row r="14" spans="1:16" x14ac:dyDescent="0.25">
      <c r="A14" s="89">
        <f t="shared" si="3"/>
        <v>2028</v>
      </c>
      <c r="B14" s="96"/>
      <c r="C14" s="91">
        <f t="shared" si="15"/>
        <v>0</v>
      </c>
      <c r="D14" s="91">
        <f t="shared" si="4"/>
        <v>0</v>
      </c>
      <c r="E14" s="91">
        <f t="shared" si="5"/>
        <v>0</v>
      </c>
      <c r="F14" s="91">
        <f t="shared" si="6"/>
        <v>0</v>
      </c>
      <c r="G14" s="91">
        <f t="shared" si="7"/>
        <v>0</v>
      </c>
      <c r="H14" s="91">
        <f t="shared" si="8"/>
        <v>0</v>
      </c>
      <c r="I14" s="91">
        <f t="shared" si="9"/>
        <v>0</v>
      </c>
      <c r="J14" s="91">
        <f t="shared" si="10"/>
        <v>0</v>
      </c>
      <c r="K14" s="91">
        <f t="shared" si="11"/>
        <v>0</v>
      </c>
      <c r="L14" s="91">
        <f t="shared" si="12"/>
        <v>0</v>
      </c>
      <c r="M14" s="91">
        <f t="shared" si="13"/>
        <v>0</v>
      </c>
      <c r="N14" s="91">
        <f t="shared" si="14"/>
        <v>0</v>
      </c>
      <c r="O14" s="89">
        <f t="shared" si="1"/>
        <v>0</v>
      </c>
      <c r="P14" s="76">
        <f t="shared" si="2"/>
        <v>0</v>
      </c>
    </row>
    <row r="15" spans="1:16" x14ac:dyDescent="0.25">
      <c r="A15" s="89">
        <f t="shared" si="3"/>
        <v>2029</v>
      </c>
      <c r="B15" s="96"/>
      <c r="C15" s="91">
        <f t="shared" si="15"/>
        <v>0</v>
      </c>
      <c r="D15" s="91">
        <f t="shared" si="4"/>
        <v>0</v>
      </c>
      <c r="E15" s="91">
        <f t="shared" si="5"/>
        <v>0</v>
      </c>
      <c r="F15" s="91">
        <f t="shared" si="6"/>
        <v>0</v>
      </c>
      <c r="G15" s="91">
        <f t="shared" si="7"/>
        <v>0</v>
      </c>
      <c r="H15" s="91">
        <f t="shared" si="8"/>
        <v>0</v>
      </c>
      <c r="I15" s="91">
        <f t="shared" si="9"/>
        <v>0</v>
      </c>
      <c r="J15" s="91">
        <f t="shared" si="10"/>
        <v>0</v>
      </c>
      <c r="K15" s="91">
        <f t="shared" si="11"/>
        <v>0</v>
      </c>
      <c r="L15" s="91">
        <f t="shared" si="12"/>
        <v>0</v>
      </c>
      <c r="M15" s="91">
        <f t="shared" si="13"/>
        <v>0</v>
      </c>
      <c r="N15" s="91">
        <f t="shared" si="14"/>
        <v>0</v>
      </c>
      <c r="O15" s="89">
        <f t="shared" si="1"/>
        <v>0</v>
      </c>
      <c r="P15" s="76">
        <f t="shared" si="2"/>
        <v>0</v>
      </c>
    </row>
    <row r="16" spans="1:16" x14ac:dyDescent="0.25">
      <c r="A16" s="89">
        <f t="shared" si="3"/>
        <v>2030</v>
      </c>
      <c r="B16" s="96"/>
      <c r="C16" s="91">
        <f t="shared" si="15"/>
        <v>0</v>
      </c>
      <c r="D16" s="91">
        <f t="shared" si="4"/>
        <v>0</v>
      </c>
      <c r="E16" s="91">
        <f t="shared" si="5"/>
        <v>0</v>
      </c>
      <c r="F16" s="91">
        <f t="shared" si="6"/>
        <v>0</v>
      </c>
      <c r="G16" s="91">
        <f t="shared" si="7"/>
        <v>0</v>
      </c>
      <c r="H16" s="91">
        <f t="shared" si="8"/>
        <v>0</v>
      </c>
      <c r="I16" s="91">
        <f t="shared" si="9"/>
        <v>0</v>
      </c>
      <c r="J16" s="91">
        <f t="shared" si="10"/>
        <v>0</v>
      </c>
      <c r="K16" s="91">
        <f t="shared" si="11"/>
        <v>0</v>
      </c>
      <c r="L16" s="91">
        <f t="shared" si="12"/>
        <v>0</v>
      </c>
      <c r="M16" s="91">
        <f t="shared" si="13"/>
        <v>0</v>
      </c>
      <c r="N16" s="91">
        <f t="shared" si="14"/>
        <v>0</v>
      </c>
      <c r="O16" s="89">
        <f t="shared" si="1"/>
        <v>0</v>
      </c>
      <c r="P16" s="76">
        <f t="shared" si="2"/>
        <v>0</v>
      </c>
    </row>
    <row r="17" spans="1:16" x14ac:dyDescent="0.25">
      <c r="A17" s="89">
        <f t="shared" si="3"/>
        <v>2031</v>
      </c>
      <c r="B17" s="96"/>
      <c r="C17" s="91">
        <f t="shared" si="15"/>
        <v>0</v>
      </c>
      <c r="D17" s="91">
        <f t="shared" si="4"/>
        <v>0</v>
      </c>
      <c r="E17" s="91">
        <f t="shared" si="5"/>
        <v>0</v>
      </c>
      <c r="F17" s="91">
        <f t="shared" si="6"/>
        <v>0</v>
      </c>
      <c r="G17" s="91">
        <f t="shared" si="7"/>
        <v>0</v>
      </c>
      <c r="H17" s="91">
        <f t="shared" si="8"/>
        <v>0</v>
      </c>
      <c r="I17" s="91">
        <f t="shared" si="9"/>
        <v>0</v>
      </c>
      <c r="J17" s="91">
        <f t="shared" si="10"/>
        <v>0</v>
      </c>
      <c r="K17" s="91">
        <f t="shared" si="11"/>
        <v>0</v>
      </c>
      <c r="L17" s="91">
        <f t="shared" si="12"/>
        <v>0</v>
      </c>
      <c r="M17" s="91">
        <f t="shared" si="13"/>
        <v>0</v>
      </c>
      <c r="N17" s="91">
        <f t="shared" si="14"/>
        <v>0</v>
      </c>
      <c r="O17" s="89">
        <f t="shared" si="1"/>
        <v>0</v>
      </c>
      <c r="P17" s="76">
        <f t="shared" si="2"/>
        <v>0</v>
      </c>
    </row>
    <row r="18" spans="1:16" x14ac:dyDescent="0.25">
      <c r="A18" s="89">
        <f t="shared" si="3"/>
        <v>2032</v>
      </c>
      <c r="B18" s="96"/>
      <c r="C18" s="91">
        <f t="shared" si="15"/>
        <v>0</v>
      </c>
      <c r="D18" s="91">
        <f t="shared" si="4"/>
        <v>0</v>
      </c>
      <c r="E18" s="91">
        <f t="shared" si="5"/>
        <v>0</v>
      </c>
      <c r="F18" s="91">
        <f t="shared" si="6"/>
        <v>0</v>
      </c>
      <c r="G18" s="91">
        <f t="shared" si="7"/>
        <v>0</v>
      </c>
      <c r="H18" s="91">
        <f t="shared" si="8"/>
        <v>0</v>
      </c>
      <c r="I18" s="91">
        <f t="shared" si="9"/>
        <v>0</v>
      </c>
      <c r="J18" s="91">
        <f t="shared" si="10"/>
        <v>0</v>
      </c>
      <c r="K18" s="91">
        <f t="shared" si="11"/>
        <v>0</v>
      </c>
      <c r="L18" s="91">
        <f t="shared" si="12"/>
        <v>0</v>
      </c>
      <c r="M18" s="91">
        <f t="shared" si="13"/>
        <v>0</v>
      </c>
      <c r="N18" s="91">
        <f t="shared" si="14"/>
        <v>0</v>
      </c>
      <c r="O18" s="89">
        <f t="shared" si="1"/>
        <v>0</v>
      </c>
      <c r="P18" s="76">
        <f t="shared" si="2"/>
        <v>0</v>
      </c>
    </row>
    <row r="19" spans="1:16" x14ac:dyDescent="0.25">
      <c r="A19" s="89">
        <f t="shared" si="3"/>
        <v>2033</v>
      </c>
      <c r="B19" s="96"/>
      <c r="C19" s="91">
        <f t="shared" si="15"/>
        <v>0</v>
      </c>
      <c r="D19" s="91">
        <f t="shared" si="4"/>
        <v>0</v>
      </c>
      <c r="E19" s="91">
        <f t="shared" si="5"/>
        <v>0</v>
      </c>
      <c r="F19" s="91">
        <f t="shared" si="6"/>
        <v>0</v>
      </c>
      <c r="G19" s="91">
        <f t="shared" si="7"/>
        <v>0</v>
      </c>
      <c r="H19" s="91">
        <f t="shared" si="8"/>
        <v>0</v>
      </c>
      <c r="I19" s="91">
        <f t="shared" si="9"/>
        <v>0</v>
      </c>
      <c r="J19" s="91">
        <f t="shared" si="10"/>
        <v>0</v>
      </c>
      <c r="K19" s="91">
        <f t="shared" si="11"/>
        <v>0</v>
      </c>
      <c r="L19" s="91">
        <f t="shared" si="12"/>
        <v>0</v>
      </c>
      <c r="M19" s="91">
        <f t="shared" si="13"/>
        <v>0</v>
      </c>
      <c r="N19" s="91">
        <f t="shared" si="14"/>
        <v>0</v>
      </c>
      <c r="O19" s="89">
        <f t="shared" si="1"/>
        <v>0</v>
      </c>
      <c r="P19" s="76">
        <f t="shared" si="2"/>
        <v>0</v>
      </c>
    </row>
    <row r="20" spans="1:16" x14ac:dyDescent="0.25">
      <c r="A20" s="89">
        <f t="shared" si="3"/>
        <v>2034</v>
      </c>
      <c r="B20" s="96"/>
      <c r="C20" s="91">
        <f t="shared" si="15"/>
        <v>0</v>
      </c>
      <c r="D20" s="91">
        <f t="shared" si="4"/>
        <v>0</v>
      </c>
      <c r="E20" s="91">
        <f t="shared" si="5"/>
        <v>0</v>
      </c>
      <c r="F20" s="91">
        <f t="shared" si="6"/>
        <v>0</v>
      </c>
      <c r="G20" s="91">
        <f t="shared" si="7"/>
        <v>0</v>
      </c>
      <c r="H20" s="91">
        <f t="shared" si="8"/>
        <v>0</v>
      </c>
      <c r="I20" s="91">
        <f t="shared" si="9"/>
        <v>0</v>
      </c>
      <c r="J20" s="91">
        <f t="shared" si="10"/>
        <v>0</v>
      </c>
      <c r="K20" s="91">
        <f t="shared" si="11"/>
        <v>0</v>
      </c>
      <c r="L20" s="91">
        <f t="shared" si="12"/>
        <v>0</v>
      </c>
      <c r="M20" s="91">
        <f t="shared" si="13"/>
        <v>0</v>
      </c>
      <c r="N20" s="91">
        <f t="shared" si="14"/>
        <v>0</v>
      </c>
      <c r="O20" s="89">
        <f t="shared" si="1"/>
        <v>0</v>
      </c>
      <c r="P20" s="76">
        <f t="shared" si="2"/>
        <v>0</v>
      </c>
    </row>
    <row r="21" spans="1:16" x14ac:dyDescent="0.25">
      <c r="A21" s="89">
        <f t="shared" si="3"/>
        <v>2035</v>
      </c>
      <c r="B21" s="96"/>
      <c r="C21" s="91">
        <f t="shared" si="15"/>
        <v>0</v>
      </c>
      <c r="D21" s="91">
        <f t="shared" si="4"/>
        <v>0</v>
      </c>
      <c r="E21" s="91">
        <f t="shared" si="5"/>
        <v>0</v>
      </c>
      <c r="F21" s="91">
        <f t="shared" si="6"/>
        <v>0</v>
      </c>
      <c r="G21" s="91">
        <f t="shared" si="7"/>
        <v>0</v>
      </c>
      <c r="H21" s="91">
        <f t="shared" si="8"/>
        <v>0</v>
      </c>
      <c r="I21" s="91">
        <f t="shared" si="9"/>
        <v>0</v>
      </c>
      <c r="J21" s="91">
        <f t="shared" si="10"/>
        <v>0</v>
      </c>
      <c r="K21" s="91">
        <f t="shared" si="11"/>
        <v>0</v>
      </c>
      <c r="L21" s="91">
        <f t="shared" si="12"/>
        <v>0</v>
      </c>
      <c r="M21" s="91">
        <f t="shared" si="13"/>
        <v>0</v>
      </c>
      <c r="N21" s="91">
        <f t="shared" si="14"/>
        <v>0</v>
      </c>
      <c r="O21" s="89">
        <f t="shared" si="1"/>
        <v>0</v>
      </c>
      <c r="P21" s="76">
        <f t="shared" si="2"/>
        <v>0</v>
      </c>
    </row>
    <row r="22" spans="1:16" x14ac:dyDescent="0.25">
      <c r="A22" s="89">
        <f t="shared" si="3"/>
        <v>2036</v>
      </c>
      <c r="B22" s="96"/>
      <c r="C22" s="91">
        <f t="shared" si="15"/>
        <v>0</v>
      </c>
      <c r="D22" s="91">
        <f t="shared" si="4"/>
        <v>0</v>
      </c>
      <c r="E22" s="91">
        <f t="shared" si="5"/>
        <v>0</v>
      </c>
      <c r="F22" s="91">
        <f t="shared" si="6"/>
        <v>0</v>
      </c>
      <c r="G22" s="91">
        <f t="shared" si="7"/>
        <v>0</v>
      </c>
      <c r="H22" s="91">
        <f t="shared" si="8"/>
        <v>0</v>
      </c>
      <c r="I22" s="91">
        <f t="shared" si="9"/>
        <v>0</v>
      </c>
      <c r="J22" s="91">
        <f t="shared" si="10"/>
        <v>0</v>
      </c>
      <c r="K22" s="91">
        <f t="shared" si="11"/>
        <v>0</v>
      </c>
      <c r="L22" s="91">
        <f t="shared" si="12"/>
        <v>0</v>
      </c>
      <c r="M22" s="91">
        <f t="shared" si="13"/>
        <v>0</v>
      </c>
      <c r="N22" s="91">
        <f t="shared" si="14"/>
        <v>0</v>
      </c>
      <c r="O22" s="89">
        <f t="shared" si="1"/>
        <v>0</v>
      </c>
      <c r="P22" s="76">
        <f t="shared" si="2"/>
        <v>0</v>
      </c>
    </row>
    <row r="23" spans="1:16" x14ac:dyDescent="0.25">
      <c r="A23" s="89">
        <f t="shared" si="3"/>
        <v>2037</v>
      </c>
      <c r="B23" s="96"/>
      <c r="C23" s="91">
        <f t="shared" si="15"/>
        <v>0</v>
      </c>
      <c r="D23" s="91">
        <f t="shared" si="4"/>
        <v>0</v>
      </c>
      <c r="E23" s="91">
        <f t="shared" si="5"/>
        <v>0</v>
      </c>
      <c r="F23" s="91">
        <f t="shared" si="6"/>
        <v>0</v>
      </c>
      <c r="G23" s="91">
        <f t="shared" si="7"/>
        <v>0</v>
      </c>
      <c r="H23" s="91">
        <f t="shared" si="8"/>
        <v>0</v>
      </c>
      <c r="I23" s="91">
        <f t="shared" si="9"/>
        <v>0</v>
      </c>
      <c r="J23" s="91">
        <f t="shared" si="10"/>
        <v>0</v>
      </c>
      <c r="K23" s="91">
        <f t="shared" si="11"/>
        <v>0</v>
      </c>
      <c r="L23" s="91">
        <f t="shared" si="12"/>
        <v>0</v>
      </c>
      <c r="M23" s="91">
        <f t="shared" si="13"/>
        <v>0</v>
      </c>
      <c r="N23" s="91">
        <f t="shared" si="14"/>
        <v>0</v>
      </c>
      <c r="O23" s="89">
        <f t="shared" si="1"/>
        <v>0</v>
      </c>
      <c r="P23" s="76">
        <f t="shared" si="2"/>
        <v>0</v>
      </c>
    </row>
    <row r="24" spans="1:16" x14ac:dyDescent="0.25">
      <c r="A24" s="89">
        <f t="shared" si="3"/>
        <v>2038</v>
      </c>
      <c r="B24" s="96"/>
      <c r="C24" s="91">
        <f t="shared" si="15"/>
        <v>0</v>
      </c>
      <c r="D24" s="91">
        <f t="shared" si="4"/>
        <v>0</v>
      </c>
      <c r="E24" s="91">
        <f t="shared" si="5"/>
        <v>0</v>
      </c>
      <c r="F24" s="91">
        <f t="shared" si="6"/>
        <v>0</v>
      </c>
      <c r="G24" s="91">
        <f t="shared" si="7"/>
        <v>0</v>
      </c>
      <c r="H24" s="91">
        <f t="shared" si="8"/>
        <v>0</v>
      </c>
      <c r="I24" s="91">
        <f t="shared" si="9"/>
        <v>0</v>
      </c>
      <c r="J24" s="91">
        <f t="shared" si="10"/>
        <v>0</v>
      </c>
      <c r="K24" s="91">
        <f t="shared" si="11"/>
        <v>0</v>
      </c>
      <c r="L24" s="91">
        <f t="shared" si="12"/>
        <v>0</v>
      </c>
      <c r="M24" s="91">
        <f t="shared" si="13"/>
        <v>0</v>
      </c>
      <c r="N24" s="91">
        <f t="shared" si="14"/>
        <v>0</v>
      </c>
      <c r="O24" s="89">
        <f t="shared" si="1"/>
        <v>0</v>
      </c>
      <c r="P24" s="76">
        <f t="shared" si="2"/>
        <v>0</v>
      </c>
    </row>
    <row r="25" spans="1:16" x14ac:dyDescent="0.25">
      <c r="A25" s="89">
        <f t="shared" si="3"/>
        <v>2039</v>
      </c>
      <c r="B25" s="96"/>
      <c r="C25" s="91">
        <f t="shared" si="15"/>
        <v>0</v>
      </c>
      <c r="D25" s="91">
        <f t="shared" si="4"/>
        <v>0</v>
      </c>
      <c r="E25" s="91">
        <f t="shared" si="5"/>
        <v>0</v>
      </c>
      <c r="F25" s="91">
        <f t="shared" si="6"/>
        <v>0</v>
      </c>
      <c r="G25" s="91">
        <f t="shared" si="7"/>
        <v>0</v>
      </c>
      <c r="H25" s="91">
        <f t="shared" si="8"/>
        <v>0</v>
      </c>
      <c r="I25" s="91">
        <f t="shared" si="9"/>
        <v>0</v>
      </c>
      <c r="J25" s="91">
        <f t="shared" si="10"/>
        <v>0</v>
      </c>
      <c r="K25" s="91">
        <f t="shared" si="11"/>
        <v>0</v>
      </c>
      <c r="L25" s="91">
        <f t="shared" si="12"/>
        <v>0</v>
      </c>
      <c r="M25" s="91">
        <f t="shared" si="13"/>
        <v>0</v>
      </c>
      <c r="N25" s="91">
        <f t="shared" si="14"/>
        <v>0</v>
      </c>
      <c r="O25" s="89">
        <f t="shared" si="1"/>
        <v>0</v>
      </c>
      <c r="P25" s="76">
        <f t="shared" si="2"/>
        <v>0</v>
      </c>
    </row>
    <row r="26" spans="1:16" x14ac:dyDescent="0.25">
      <c r="A26" s="89">
        <f t="shared" si="3"/>
        <v>2040</v>
      </c>
      <c r="B26" s="96"/>
      <c r="C26" s="91">
        <f t="shared" si="15"/>
        <v>0</v>
      </c>
      <c r="D26" s="91">
        <f t="shared" si="4"/>
        <v>0</v>
      </c>
      <c r="E26" s="91">
        <f t="shared" si="5"/>
        <v>0</v>
      </c>
      <c r="F26" s="91">
        <f t="shared" si="6"/>
        <v>0</v>
      </c>
      <c r="G26" s="91">
        <f t="shared" si="7"/>
        <v>0</v>
      </c>
      <c r="H26" s="91">
        <f t="shared" si="8"/>
        <v>0</v>
      </c>
      <c r="I26" s="91">
        <f t="shared" si="9"/>
        <v>0</v>
      </c>
      <c r="J26" s="91">
        <f t="shared" si="10"/>
        <v>0</v>
      </c>
      <c r="K26" s="91">
        <f t="shared" si="11"/>
        <v>0</v>
      </c>
      <c r="L26" s="91">
        <f t="shared" si="12"/>
        <v>0</v>
      </c>
      <c r="M26" s="91">
        <f t="shared" si="13"/>
        <v>0</v>
      </c>
      <c r="N26" s="91">
        <f t="shared" si="14"/>
        <v>0</v>
      </c>
      <c r="O26" s="89">
        <f t="shared" si="1"/>
        <v>0</v>
      </c>
      <c r="P26" s="76">
        <f t="shared" si="2"/>
        <v>0</v>
      </c>
    </row>
    <row r="27" spans="1:16" x14ac:dyDescent="0.25">
      <c r="A27" s="89">
        <f t="shared" si="3"/>
        <v>2041</v>
      </c>
      <c r="B27" s="96"/>
      <c r="C27" s="91">
        <f t="shared" si="15"/>
        <v>0</v>
      </c>
      <c r="D27" s="91">
        <f t="shared" si="4"/>
        <v>0</v>
      </c>
      <c r="E27" s="91">
        <f t="shared" si="5"/>
        <v>0</v>
      </c>
      <c r="F27" s="91">
        <f t="shared" si="6"/>
        <v>0</v>
      </c>
      <c r="G27" s="91">
        <f t="shared" si="7"/>
        <v>0</v>
      </c>
      <c r="H27" s="91">
        <f t="shared" si="8"/>
        <v>0</v>
      </c>
      <c r="I27" s="91">
        <f t="shared" si="9"/>
        <v>0</v>
      </c>
      <c r="J27" s="91">
        <f t="shared" si="10"/>
        <v>0</v>
      </c>
      <c r="K27" s="91">
        <f t="shared" si="11"/>
        <v>0</v>
      </c>
      <c r="L27" s="91">
        <f t="shared" si="12"/>
        <v>0</v>
      </c>
      <c r="M27" s="91">
        <f t="shared" si="13"/>
        <v>0</v>
      </c>
      <c r="N27" s="91">
        <f t="shared" si="14"/>
        <v>0</v>
      </c>
      <c r="O27" s="89">
        <f t="shared" si="1"/>
        <v>0</v>
      </c>
      <c r="P27" s="76">
        <f t="shared" si="2"/>
        <v>0</v>
      </c>
    </row>
    <row r="28" spans="1:16" x14ac:dyDescent="0.25">
      <c r="A28" s="89">
        <f t="shared" si="3"/>
        <v>2042</v>
      </c>
      <c r="B28" s="96"/>
      <c r="C28" s="91">
        <f t="shared" si="15"/>
        <v>0</v>
      </c>
      <c r="D28" s="91">
        <f t="shared" si="4"/>
        <v>0</v>
      </c>
      <c r="E28" s="91">
        <f t="shared" si="5"/>
        <v>0</v>
      </c>
      <c r="F28" s="91">
        <f t="shared" si="6"/>
        <v>0</v>
      </c>
      <c r="G28" s="91">
        <f t="shared" si="7"/>
        <v>0</v>
      </c>
      <c r="H28" s="91">
        <f t="shared" si="8"/>
        <v>0</v>
      </c>
      <c r="I28" s="91">
        <f t="shared" si="9"/>
        <v>0</v>
      </c>
      <c r="J28" s="91">
        <f t="shared" si="10"/>
        <v>0</v>
      </c>
      <c r="K28" s="91">
        <f t="shared" si="11"/>
        <v>0</v>
      </c>
      <c r="L28" s="91">
        <f t="shared" si="12"/>
        <v>0</v>
      </c>
      <c r="M28" s="91">
        <f t="shared" si="13"/>
        <v>0</v>
      </c>
      <c r="N28" s="91">
        <f t="shared" si="14"/>
        <v>0</v>
      </c>
      <c r="O28" s="89">
        <f t="shared" si="1"/>
        <v>0</v>
      </c>
      <c r="P28" s="76">
        <f t="shared" si="2"/>
        <v>0</v>
      </c>
    </row>
    <row r="29" spans="1:16" x14ac:dyDescent="0.25">
      <c r="A29" s="89">
        <f t="shared" si="3"/>
        <v>2043</v>
      </c>
      <c r="B29" s="96"/>
      <c r="C29" s="91">
        <f t="shared" si="15"/>
        <v>0</v>
      </c>
      <c r="D29" s="91">
        <f t="shared" si="4"/>
        <v>0</v>
      </c>
      <c r="E29" s="91">
        <f t="shared" si="5"/>
        <v>0</v>
      </c>
      <c r="F29" s="91">
        <f t="shared" si="6"/>
        <v>0</v>
      </c>
      <c r="G29" s="91">
        <f t="shared" si="7"/>
        <v>0</v>
      </c>
      <c r="H29" s="91">
        <f t="shared" si="8"/>
        <v>0</v>
      </c>
      <c r="I29" s="91">
        <f t="shared" si="9"/>
        <v>0</v>
      </c>
      <c r="J29" s="91">
        <f t="shared" si="10"/>
        <v>0</v>
      </c>
      <c r="K29" s="91">
        <f t="shared" si="11"/>
        <v>0</v>
      </c>
      <c r="L29" s="91">
        <f t="shared" si="12"/>
        <v>0</v>
      </c>
      <c r="M29" s="91">
        <f t="shared" si="13"/>
        <v>0</v>
      </c>
      <c r="N29" s="91">
        <f t="shared" si="14"/>
        <v>0</v>
      </c>
      <c r="O29" s="89">
        <f t="shared" si="1"/>
        <v>0</v>
      </c>
      <c r="P29" s="76">
        <f t="shared" si="2"/>
        <v>0</v>
      </c>
    </row>
    <row r="30" spans="1:16" x14ac:dyDescent="0.25">
      <c r="A30" s="89">
        <f t="shared" si="3"/>
        <v>2044</v>
      </c>
      <c r="B30" s="97"/>
      <c r="C30" s="91">
        <f t="shared" si="15"/>
        <v>0</v>
      </c>
      <c r="D30" s="91">
        <f t="shared" si="4"/>
        <v>0</v>
      </c>
      <c r="E30" s="91">
        <f t="shared" si="5"/>
        <v>0</v>
      </c>
      <c r="F30" s="91">
        <f t="shared" si="6"/>
        <v>0</v>
      </c>
      <c r="G30" s="91">
        <f t="shared" si="7"/>
        <v>0</v>
      </c>
      <c r="H30" s="91">
        <f t="shared" si="8"/>
        <v>0</v>
      </c>
      <c r="I30" s="91">
        <f t="shared" si="9"/>
        <v>0</v>
      </c>
      <c r="J30" s="91">
        <f t="shared" si="10"/>
        <v>0</v>
      </c>
      <c r="K30" s="91">
        <f t="shared" si="11"/>
        <v>0</v>
      </c>
      <c r="L30" s="91">
        <f t="shared" si="12"/>
        <v>0</v>
      </c>
      <c r="M30" s="91">
        <f t="shared" si="13"/>
        <v>0</v>
      </c>
      <c r="N30" s="91">
        <f t="shared" si="14"/>
        <v>0</v>
      </c>
      <c r="O30" s="89">
        <f t="shared" si="1"/>
        <v>0</v>
      </c>
      <c r="P30" s="76">
        <f t="shared" si="2"/>
        <v>0</v>
      </c>
    </row>
    <row r="31" spans="1:16" x14ac:dyDescent="0.25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</row>
    <row r="32" spans="1:16" x14ac:dyDescent="0.25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</row>
    <row r="33" spans="1:15" x14ac:dyDescent="0.25">
      <c r="A33" s="99" t="s">
        <v>121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</row>
    <row r="34" spans="1:15" x14ac:dyDescent="0.25">
      <c r="A34" s="100" t="s">
        <v>122</v>
      </c>
      <c r="B34" s="101"/>
      <c r="C34" s="101"/>
      <c r="D34" s="101"/>
      <c r="E34" s="100" t="s">
        <v>123</v>
      </c>
      <c r="F34" s="101"/>
      <c r="G34" s="101"/>
      <c r="H34" s="101"/>
      <c r="I34" s="101"/>
      <c r="J34" s="100" t="s">
        <v>124</v>
      </c>
      <c r="K34" s="101"/>
      <c r="L34" s="101"/>
      <c r="M34" s="101"/>
      <c r="N34" s="101"/>
      <c r="O34" s="98"/>
    </row>
    <row r="35" spans="1:15" x14ac:dyDescent="0.25">
      <c r="A35" s="100" t="s">
        <v>125</v>
      </c>
      <c r="B35" s="101"/>
      <c r="C35" s="101"/>
      <c r="D35" s="101"/>
      <c r="E35" s="100" t="s">
        <v>126</v>
      </c>
      <c r="F35" s="101"/>
      <c r="G35" s="101"/>
      <c r="H35" s="101"/>
      <c r="I35" s="101"/>
      <c r="J35" s="100" t="s">
        <v>127</v>
      </c>
      <c r="K35" s="101"/>
      <c r="L35" s="101"/>
      <c r="M35" s="101"/>
      <c r="N35" s="101"/>
      <c r="O35" s="98"/>
    </row>
    <row r="36" spans="1:15" x14ac:dyDescent="0.25">
      <c r="A36" s="100" t="s">
        <v>128</v>
      </c>
      <c r="B36" s="101"/>
      <c r="C36" s="101"/>
      <c r="D36" s="101"/>
      <c r="E36" s="100" t="s">
        <v>129</v>
      </c>
      <c r="F36" s="101"/>
      <c r="G36" s="101"/>
      <c r="H36" s="101"/>
      <c r="I36" s="101"/>
      <c r="J36" s="100" t="s">
        <v>130</v>
      </c>
      <c r="K36" s="101"/>
      <c r="L36" s="101"/>
      <c r="M36" s="101"/>
      <c r="N36" s="101"/>
      <c r="O36" s="98"/>
    </row>
    <row r="37" spans="1:15" x14ac:dyDescent="0.25">
      <c r="A37" s="100" t="s">
        <v>131</v>
      </c>
      <c r="B37" s="101"/>
      <c r="C37" s="101"/>
      <c r="D37" s="101"/>
      <c r="E37" s="100" t="s">
        <v>132</v>
      </c>
      <c r="F37" s="101"/>
      <c r="G37" s="101"/>
      <c r="H37" s="101"/>
      <c r="I37" s="101"/>
      <c r="J37" s="100" t="s">
        <v>133</v>
      </c>
      <c r="K37" s="101"/>
      <c r="L37" s="101"/>
      <c r="M37" s="101"/>
      <c r="N37" s="101"/>
      <c r="O37" s="98"/>
    </row>
  </sheetData>
  <mergeCells count="5">
    <mergeCell ref="C1:N1"/>
    <mergeCell ref="O1:O5"/>
    <mergeCell ref="A2:A5"/>
    <mergeCell ref="B8:B10"/>
    <mergeCell ref="B11:B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691F-181E-416E-8DC1-593DC0FAD9DB}">
  <dimension ref="A1:AL40"/>
  <sheetViews>
    <sheetView tabSelected="1" topLeftCell="X22" zoomScaleNormal="100" workbookViewId="0">
      <selection activeCell="AC36" sqref="AC36"/>
    </sheetView>
  </sheetViews>
  <sheetFormatPr baseColWidth="10" defaultColWidth="11.42578125" defaultRowHeight="15.75" x14ac:dyDescent="0.25"/>
  <cols>
    <col min="1" max="1" width="8.85546875" style="106" customWidth="1"/>
    <col min="2" max="2" width="11.42578125" style="106"/>
    <col min="3" max="3" width="12.5703125" style="106" bestFit="1" customWidth="1"/>
    <col min="4" max="4" width="12.5703125" style="106" customWidth="1"/>
    <col min="5" max="27" width="11.42578125" style="106"/>
    <col min="28" max="28" width="13.7109375" style="106" bestFit="1" customWidth="1"/>
    <col min="29" max="32" width="11.42578125" style="106"/>
    <col min="33" max="34" width="11.42578125" style="106" customWidth="1"/>
    <col min="35" max="35" width="11.42578125" style="106"/>
    <col min="36" max="36" width="11.42578125" style="106" customWidth="1"/>
    <col min="37" max="37" width="11.42578125" style="106"/>
    <col min="38" max="38" width="11.42578125" style="107"/>
    <col min="39" max="16384" width="11.42578125" style="106"/>
  </cols>
  <sheetData>
    <row r="1" spans="1:38" ht="27" customHeight="1" x14ac:dyDescent="0.25">
      <c r="A1" s="102"/>
      <c r="B1" s="102"/>
      <c r="C1" s="103" t="s">
        <v>100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4"/>
      <c r="AA1" s="105" t="s">
        <v>134</v>
      </c>
    </row>
    <row r="2" spans="1:38" ht="27" customHeight="1" x14ac:dyDescent="0.25">
      <c r="A2" s="108" t="s">
        <v>83</v>
      </c>
      <c r="B2" s="109" t="s">
        <v>101</v>
      </c>
      <c r="C2" s="110" t="s">
        <v>102</v>
      </c>
      <c r="D2" s="111"/>
      <c r="E2" s="110" t="s">
        <v>103</v>
      </c>
      <c r="F2" s="111"/>
      <c r="G2" s="110" t="s">
        <v>104</v>
      </c>
      <c r="H2" s="111"/>
      <c r="I2" s="110" t="s">
        <v>105</v>
      </c>
      <c r="J2" s="111"/>
      <c r="K2" s="110" t="s">
        <v>106</v>
      </c>
      <c r="L2" s="111"/>
      <c r="M2" s="110" t="s">
        <v>107</v>
      </c>
      <c r="N2" s="111"/>
      <c r="O2" s="110" t="s">
        <v>108</v>
      </c>
      <c r="P2" s="111"/>
      <c r="Q2" s="110" t="s">
        <v>109</v>
      </c>
      <c r="R2" s="111"/>
      <c r="S2" s="110" t="s">
        <v>110</v>
      </c>
      <c r="T2" s="111"/>
      <c r="U2" s="110" t="s">
        <v>111</v>
      </c>
      <c r="V2" s="111"/>
      <c r="W2" s="110" t="s">
        <v>112</v>
      </c>
      <c r="X2" s="111"/>
      <c r="Y2" s="110" t="s">
        <v>113</v>
      </c>
      <c r="Z2" s="111"/>
      <c r="AA2" s="112"/>
    </row>
    <row r="3" spans="1:38" ht="27" customHeight="1" x14ac:dyDescent="0.25">
      <c r="A3" s="108"/>
      <c r="B3" s="109" t="s">
        <v>114</v>
      </c>
      <c r="C3" s="113">
        <f>[8]CONSOLIDADO!B36/2</f>
        <v>478.28571428571428</v>
      </c>
      <c r="D3" s="114"/>
      <c r="E3" s="113">
        <f>[8]CONSOLIDADO!C36/2</f>
        <v>84.214285714285708</v>
      </c>
      <c r="F3" s="114"/>
      <c r="G3" s="113">
        <f>[8]CONSOLIDADO!D36/2</f>
        <v>265.64285714285717</v>
      </c>
      <c r="H3" s="114"/>
      <c r="I3" s="113">
        <f>[8]CONSOLIDADO!E36/2</f>
        <v>1.6428571428571428</v>
      </c>
      <c r="J3" s="114"/>
      <c r="K3" s="113">
        <f>[8]CONSOLIDADO!F36/2</f>
        <v>42.5</v>
      </c>
      <c r="L3" s="114"/>
      <c r="M3" s="113">
        <f>[8]CONSOLIDADO!G36/2</f>
        <v>292.85714285714283</v>
      </c>
      <c r="N3" s="114"/>
      <c r="O3" s="113">
        <f>[8]CONSOLIDADO!H36/2</f>
        <v>27.857142857142858</v>
      </c>
      <c r="P3" s="114"/>
      <c r="Q3" s="113">
        <f>[8]CONSOLIDADO!I36/2</f>
        <v>117.28571428571429</v>
      </c>
      <c r="R3" s="114"/>
      <c r="S3" s="113">
        <f>[8]CONSOLIDADO!J36/2</f>
        <v>196.5</v>
      </c>
      <c r="T3" s="114"/>
      <c r="U3" s="113">
        <f>[8]CONSOLIDADO!K36/2</f>
        <v>260.07142857142856</v>
      </c>
      <c r="V3" s="114"/>
      <c r="W3" s="113">
        <f>[8]CONSOLIDADO!L36/2</f>
        <v>74.785714285714292</v>
      </c>
      <c r="X3" s="114"/>
      <c r="Y3" s="113">
        <f>[8]CONSOLIDADO!M36/2</f>
        <v>10.428571428571429</v>
      </c>
      <c r="Z3" s="114"/>
      <c r="AA3" s="112"/>
    </row>
    <row r="4" spans="1:38" ht="27" customHeight="1" x14ac:dyDescent="0.25">
      <c r="A4" s="108"/>
      <c r="B4" s="115" t="s">
        <v>135</v>
      </c>
      <c r="C4" s="116">
        <f>[8]CONSOLIDADO!B52</f>
        <v>0.25824366539396043</v>
      </c>
      <c r="D4" s="117"/>
      <c r="E4" s="110">
        <f>[8]CONSOLIDADO!C52</f>
        <v>4.5470322804581735E-2</v>
      </c>
      <c r="F4" s="111"/>
      <c r="G4" s="110">
        <f>[8]CONSOLIDADO!D52</f>
        <v>0.14343013614100042</v>
      </c>
      <c r="H4" s="111"/>
      <c r="I4" s="110">
        <f>[8]CONSOLIDADO!E52</f>
        <v>8.8703767981796432E-4</v>
      </c>
      <c r="J4" s="111"/>
      <c r="K4" s="110">
        <f>[8]CONSOLIDADO!F52</f>
        <v>2.2947279108334297E-2</v>
      </c>
      <c r="L4" s="111"/>
      <c r="M4" s="110">
        <f>[8]CONSOLIDADO!G52</f>
        <v>0.15812410814146322</v>
      </c>
      <c r="N4" s="111"/>
      <c r="O4" s="110">
        <f>[8]CONSOLIDADO!H52</f>
        <v>1.5041073701261136E-2</v>
      </c>
      <c r="P4" s="111"/>
      <c r="Q4" s="110">
        <f>[8]CONSOLIDADO!I52</f>
        <v>6.332677696787381E-2</v>
      </c>
      <c r="R4" s="111"/>
      <c r="S4" s="110">
        <f>[8]CONSOLIDADO!J52</f>
        <v>0.10609741987735739</v>
      </c>
      <c r="T4" s="111"/>
      <c r="U4" s="110">
        <f>[8]CONSOLIDADO!K52</f>
        <v>0.14042192140074819</v>
      </c>
      <c r="V4" s="111"/>
      <c r="W4" s="110">
        <f>[8]CONSOLIDADO!L52</f>
        <v>4.0379497859539516E-2</v>
      </c>
      <c r="X4" s="111"/>
      <c r="Y4" s="110">
        <f>[8]CONSOLIDADO!M52</f>
        <v>5.6307609240618612E-3</v>
      </c>
      <c r="Z4" s="111"/>
      <c r="AA4" s="112"/>
      <c r="AL4" s="118">
        <f>(7.7/7.77)^4.32</f>
        <v>0.96165906882030616</v>
      </c>
    </row>
    <row r="5" spans="1:38" ht="27" customHeight="1" x14ac:dyDescent="0.25">
      <c r="A5" s="108"/>
      <c r="B5" s="119" t="s">
        <v>136</v>
      </c>
      <c r="C5" s="110">
        <f>AL4</f>
        <v>0.96165906882030616</v>
      </c>
      <c r="D5" s="111"/>
      <c r="E5" s="110">
        <f>AL4</f>
        <v>0.96165906882030616</v>
      </c>
      <c r="F5" s="111"/>
      <c r="G5" s="110">
        <f>AL4</f>
        <v>0.96165906882030616</v>
      </c>
      <c r="H5" s="111"/>
      <c r="I5" s="110">
        <f>AL9</f>
        <v>18.238916742207088</v>
      </c>
      <c r="J5" s="111"/>
      <c r="K5" s="110">
        <f>AL9</f>
        <v>18.238916742207088</v>
      </c>
      <c r="L5" s="111"/>
      <c r="M5" s="110">
        <f>AL9</f>
        <v>18.238916742207088</v>
      </c>
      <c r="N5" s="111"/>
      <c r="O5" s="110">
        <f>AL14</f>
        <v>2.0808779928782002</v>
      </c>
      <c r="P5" s="111"/>
      <c r="Q5" s="110">
        <f>AL14</f>
        <v>2.0808779928782002</v>
      </c>
      <c r="R5" s="111"/>
      <c r="S5" s="110">
        <f>AL14</f>
        <v>2.0808779928782002</v>
      </c>
      <c r="T5" s="111"/>
      <c r="U5" s="110">
        <f>AL18</f>
        <v>1.4269532134813139</v>
      </c>
      <c r="V5" s="111"/>
      <c r="W5" s="110">
        <f>AL18</f>
        <v>1.4269532134813139</v>
      </c>
      <c r="X5" s="111"/>
      <c r="Y5" s="110">
        <f>AL4</f>
        <v>0.96165906882030616</v>
      </c>
      <c r="Z5" s="111"/>
      <c r="AA5" s="112"/>
    </row>
    <row r="6" spans="1:38" x14ac:dyDescent="0.25">
      <c r="A6" s="109"/>
      <c r="B6" s="119"/>
      <c r="C6" s="120">
        <v>0.2</v>
      </c>
      <c r="D6" s="121">
        <v>0.8</v>
      </c>
      <c r="E6" s="120">
        <v>0.2</v>
      </c>
      <c r="F6" s="121">
        <v>0.8</v>
      </c>
      <c r="G6" s="120">
        <v>0.2</v>
      </c>
      <c r="H6" s="121">
        <v>0.8</v>
      </c>
      <c r="I6" s="120">
        <v>0.2</v>
      </c>
      <c r="J6" s="121">
        <v>0.8</v>
      </c>
      <c r="K6" s="120">
        <v>0.2</v>
      </c>
      <c r="L6" s="121">
        <v>0.8</v>
      </c>
      <c r="M6" s="120">
        <v>0.2</v>
      </c>
      <c r="N6" s="121">
        <v>0.8</v>
      </c>
      <c r="O6" s="120">
        <v>0.2</v>
      </c>
      <c r="P6" s="121">
        <v>0.8</v>
      </c>
      <c r="Q6" s="120">
        <v>0.2</v>
      </c>
      <c r="R6" s="121">
        <v>0.8</v>
      </c>
      <c r="S6" s="120">
        <v>0.2</v>
      </c>
      <c r="T6" s="121">
        <v>0.8</v>
      </c>
      <c r="U6" s="120">
        <v>0.2</v>
      </c>
      <c r="V6" s="121">
        <v>0.8</v>
      </c>
      <c r="W6" s="120">
        <v>0.2</v>
      </c>
      <c r="X6" s="121">
        <v>0.8</v>
      </c>
      <c r="Y6" s="120">
        <v>0.2</v>
      </c>
      <c r="Z6" s="121">
        <v>0.8</v>
      </c>
      <c r="AA6" s="122"/>
    </row>
    <row r="7" spans="1:38" x14ac:dyDescent="0.25">
      <c r="A7" s="123">
        <v>2020</v>
      </c>
      <c r="B7" s="124"/>
      <c r="C7" s="125">
        <f>TPDA!C6*'EE1'!$C$4:$D$4*'EE1'!$C$5:$D$5*$C$6</f>
        <v>0</v>
      </c>
      <c r="D7" s="125">
        <f>TPDA!C6*'EE1'!$C$4*'EE1'!$C$5*$D$6</f>
        <v>0</v>
      </c>
      <c r="E7" s="125">
        <f>TPDA!D6*$E$4*$E$5*$E$6</f>
        <v>0</v>
      </c>
      <c r="F7" s="125">
        <f>TPDA!D6*$E$5*$E$5*$F$6</f>
        <v>0</v>
      </c>
      <c r="G7" s="125">
        <f>TPDA!E6*$G$4*$G$5*$G$6</f>
        <v>0</v>
      </c>
      <c r="H7" s="125">
        <f>TPDA!E6*$G$4*$G$5*$H$6</f>
        <v>0</v>
      </c>
      <c r="I7" s="125">
        <f>TPDA!F6*$I$4*$I$5*$I$6</f>
        <v>0</v>
      </c>
      <c r="J7" s="125">
        <f>TPDA!F6*$I$4*$I$5*$J$6</f>
        <v>0</v>
      </c>
      <c r="K7" s="125">
        <f>TPDA!G6*$K$4*$K$5*$K$6</f>
        <v>0</v>
      </c>
      <c r="L7" s="125">
        <f>TPDA!G6*$K$4*$K$5*$L$6</f>
        <v>0</v>
      </c>
      <c r="M7" s="125">
        <f>TPDA!H6*$M$4*$M$5*$M$6</f>
        <v>0</v>
      </c>
      <c r="N7" s="125">
        <f>TPDA!H6*$M$4*$M$5*$N$6</f>
        <v>0</v>
      </c>
      <c r="O7" s="125">
        <f>TPDA!I6*$O$4*$O$5*$O$6</f>
        <v>0</v>
      </c>
      <c r="P7" s="125">
        <f>TPDA!I6*$O$4*$O$5*$P$6</f>
        <v>0</v>
      </c>
      <c r="Q7" s="125">
        <f>TPDA!J6*$Q$4*$Q$5*$Q$6</f>
        <v>0</v>
      </c>
      <c r="R7" s="125">
        <f>TPDA!J6*$Q$4*$Q$5*$R$6</f>
        <v>0</v>
      </c>
      <c r="S7" s="125">
        <f>TPDA!K6*$S$4*$S$5*$S$6</f>
        <v>0</v>
      </c>
      <c r="T7" s="125">
        <f>TPDA!K6*$S$4*$S$5*$T$6</f>
        <v>0</v>
      </c>
      <c r="U7" s="125">
        <f>TPDA!L6*$U$4*$U$5*$U$6</f>
        <v>0</v>
      </c>
      <c r="V7" s="125">
        <f>TPDA!L6*$U$4*$U$5*$V$6</f>
        <v>0</v>
      </c>
      <c r="W7" s="125">
        <f>TPDA!M6*$W$4*$W$5*$W$6</f>
        <v>0</v>
      </c>
      <c r="X7" s="125">
        <f>TPDA!M6*$W$4*$W$5*$X$6</f>
        <v>0</v>
      </c>
      <c r="Y7" s="125">
        <f>TPDA!N6*$Y$4*$Y$5*$Y$6</f>
        <v>0</v>
      </c>
      <c r="Z7" s="125">
        <f>TPDA!N6*$Y$4*$Y$5*$Z$6</f>
        <v>0</v>
      </c>
      <c r="AA7" s="126">
        <f>SUM(C7:Z7)</f>
        <v>0</v>
      </c>
      <c r="AB7" s="106">
        <f>AA7*365</f>
        <v>0</v>
      </c>
    </row>
    <row r="8" spans="1:38" x14ac:dyDescent="0.25">
      <c r="A8" s="123">
        <f>+A7+1</f>
        <v>2021</v>
      </c>
      <c r="B8" s="126" t="s">
        <v>137</v>
      </c>
      <c r="C8" s="125">
        <f>TPDA!C7*'EE1'!$C$4:$D$4*'EE1'!$C$5:$D$5*$C$6</f>
        <v>0</v>
      </c>
      <c r="D8" s="125">
        <f>TPDA!C7*'EE1'!$C$4*'EE1'!$C$5*$D$6</f>
        <v>0</v>
      </c>
      <c r="E8" s="125">
        <f>TPDA!D7*$E$4*$E$5*$E$6</f>
        <v>0</v>
      </c>
      <c r="F8" s="125">
        <f>TPDA!D7*$E$5*$E$5*$F$6</f>
        <v>0</v>
      </c>
      <c r="G8" s="125">
        <f>TPDA!E7*$G$4*$G$5*$G$6</f>
        <v>0</v>
      </c>
      <c r="H8" s="125">
        <f>TPDA!E7*$G$4*$G$5*$H$6</f>
        <v>0</v>
      </c>
      <c r="I8" s="125">
        <f>(POWER((0.2*5.5)/8.17,4.32))*TPDA!F7</f>
        <v>0</v>
      </c>
      <c r="J8" s="125">
        <f>TPDA!F7*$I$4*$I$5*$J$6</f>
        <v>0</v>
      </c>
      <c r="K8" s="125">
        <f>TPDA!G7*$K$4*$K$5*$K$6</f>
        <v>0</v>
      </c>
      <c r="L8" s="125">
        <f>TPDA!G7*$K$4*$K$5*$L$6</f>
        <v>0</v>
      </c>
      <c r="M8" s="125">
        <f>TPDA!H7*$M$4*$M$5*$M$6</f>
        <v>0</v>
      </c>
      <c r="N8" s="125">
        <f>TPDA!H7*$M$4*$M$5*$N$6</f>
        <v>0</v>
      </c>
      <c r="O8" s="125">
        <f>TPDA!I7*$O$4*$O$5*$O$6</f>
        <v>0</v>
      </c>
      <c r="P8" s="125">
        <f>TPDA!I7*$O$4*$O$5*$P$6</f>
        <v>0</v>
      </c>
      <c r="Q8" s="125">
        <f>TPDA!J7*$Q$4*$Q$5*$Q$6</f>
        <v>0</v>
      </c>
      <c r="R8" s="125">
        <f>TPDA!J7*$Q$4*$Q$5*$R$6</f>
        <v>0</v>
      </c>
      <c r="S8" s="125">
        <f>TPDA!K7*$S$4*$S$5*$S$6</f>
        <v>0</v>
      </c>
      <c r="T8" s="125">
        <f>TPDA!K7*$S$4*$S$5*$T$6</f>
        <v>0</v>
      </c>
      <c r="U8" s="125">
        <f>TPDA!L7*$U$4*$U$5*$U$6</f>
        <v>0</v>
      </c>
      <c r="V8" s="125">
        <f>TPDA!L7*$U$4*$U$5*$V$6</f>
        <v>0</v>
      </c>
      <c r="W8" s="125">
        <f>TPDA!M7*$W$4*$W$5*$W$6</f>
        <v>0</v>
      </c>
      <c r="X8" s="125">
        <f>TPDA!M7*$W$4*$W$5*$X$6</f>
        <v>0</v>
      </c>
      <c r="Y8" s="125">
        <f>TPDA!N7*$Y$4*$Y$5*$Y$6</f>
        <v>0</v>
      </c>
      <c r="Z8" s="125">
        <f>TPDA!N7*$Y$4*$Y$5*$Z$6</f>
        <v>0</v>
      </c>
      <c r="AA8" s="126">
        <f>SUM(C8:Z8)</f>
        <v>0</v>
      </c>
      <c r="AB8" s="106">
        <f t="shared" ref="AB8:AB31" si="0">AA8*365</f>
        <v>0</v>
      </c>
    </row>
    <row r="9" spans="1:38" x14ac:dyDescent="0.25">
      <c r="A9" s="123">
        <f t="shared" ref="A9:A31" si="1">+A8+1</f>
        <v>2022</v>
      </c>
      <c r="B9" s="126" t="s">
        <v>138</v>
      </c>
      <c r="C9" s="125">
        <f>TPDA!C8*'EE1'!$C$4:$D$4*'EE1'!$C$5:$D$5*$C$6</f>
        <v>0</v>
      </c>
      <c r="D9" s="125">
        <f>TPDA!C8*'EE1'!$C$4*'EE1'!$C$5*$D$6</f>
        <v>0</v>
      </c>
      <c r="E9" s="125">
        <f>TPDA!D8*$E$4*$E$5*$E$6</f>
        <v>0</v>
      </c>
      <c r="F9" s="125">
        <f>TPDA!D8*$E$5*$E$5*$F$6</f>
        <v>0</v>
      </c>
      <c r="G9" s="125">
        <f>TPDA!E8*$G$4*$G$5*$G$6</f>
        <v>0</v>
      </c>
      <c r="H9" s="125">
        <f>TPDA!E8*$G$4*$G$5*$H$6</f>
        <v>0</v>
      </c>
      <c r="I9" s="125">
        <f>(POWER((0.2*5.5)/8.17,4.32))*TPDA!F8</f>
        <v>0</v>
      </c>
      <c r="J9" s="125">
        <f>TPDA!F8*$I$4*$I$5*$J$6</f>
        <v>0</v>
      </c>
      <c r="K9" s="125">
        <f>TPDA!G8*$K$4*$K$5*$K$6</f>
        <v>0</v>
      </c>
      <c r="L9" s="125">
        <f>TPDA!G8*$K$4*$K$5*$L$6</f>
        <v>0</v>
      </c>
      <c r="M9" s="125">
        <f>TPDA!H8*$M$4*$M$5*$M$6</f>
        <v>0</v>
      </c>
      <c r="N9" s="125">
        <f>TPDA!H8*$M$4*$M$5*$N$6</f>
        <v>0</v>
      </c>
      <c r="O9" s="125">
        <f>TPDA!I8*$O$4*$O$5*$O$6</f>
        <v>0</v>
      </c>
      <c r="P9" s="125">
        <f>TPDA!I8*$O$4*$O$5*$P$6</f>
        <v>0</v>
      </c>
      <c r="Q9" s="125">
        <f>TPDA!J8*$Q$4*$Q$5*$Q$6</f>
        <v>0</v>
      </c>
      <c r="R9" s="125">
        <f>TPDA!J8*$Q$4*$Q$5*$R$6</f>
        <v>0</v>
      </c>
      <c r="S9" s="125">
        <f>TPDA!K8*$S$4*$S$5*$S$6</f>
        <v>0</v>
      </c>
      <c r="T9" s="125">
        <f>TPDA!K8*$S$4*$S$5*$T$6</f>
        <v>0</v>
      </c>
      <c r="U9" s="125">
        <f>TPDA!L8*$U$4*$U$5*$U$6</f>
        <v>0</v>
      </c>
      <c r="V9" s="125">
        <f>TPDA!L8*$U$4*$U$5*$V$6</f>
        <v>0</v>
      </c>
      <c r="W9" s="125">
        <f>TPDA!M8*$W$4*$W$5*$W$6</f>
        <v>0</v>
      </c>
      <c r="X9" s="125">
        <f>TPDA!M8*$W$4*$W$5*$X$6</f>
        <v>0</v>
      </c>
      <c r="Y9" s="125">
        <f>TPDA!N8*$Y$4*$Y$5*$Y$6</f>
        <v>0</v>
      </c>
      <c r="Z9" s="125">
        <f>TPDA!N8*$Y$4*$Y$5*$Z$6</f>
        <v>0</v>
      </c>
      <c r="AA9" s="126">
        <f t="shared" ref="AA9:AA31" si="2">SUM(C9:Z9)</f>
        <v>0</v>
      </c>
      <c r="AB9" s="106">
        <f t="shared" si="0"/>
        <v>0</v>
      </c>
      <c r="AL9" s="127">
        <f>(16/8.17)^4.32</f>
        <v>18.238916742207088</v>
      </c>
    </row>
    <row r="10" spans="1:38" x14ac:dyDescent="0.25">
      <c r="A10" s="123">
        <f t="shared" si="1"/>
        <v>2023</v>
      </c>
      <c r="B10" s="128" t="s">
        <v>119</v>
      </c>
      <c r="C10" s="125">
        <f>TPDA!C9*'EE1'!$C$4:$D$4*'EE1'!$C$5:$D$5*$C$6</f>
        <v>0</v>
      </c>
      <c r="D10" s="125">
        <f>TPDA!C9*'EE1'!$C$4*'EE1'!$C$5*$D$6</f>
        <v>0</v>
      </c>
      <c r="E10" s="125">
        <f>TPDA!D9*$E$4*$E$5*$E$6</f>
        <v>0</v>
      </c>
      <c r="F10" s="125">
        <f>TPDA!D9*$E$5*$E$5*$F$6</f>
        <v>0</v>
      </c>
      <c r="G10" s="125">
        <f>TPDA!E9*$G$4*$G$5*$G$6</f>
        <v>0</v>
      </c>
      <c r="H10" s="125">
        <f>TPDA!E9*$G$4*$G$5*$H$6</f>
        <v>0</v>
      </c>
      <c r="I10" s="125">
        <f>(POWER((0.2*5.5)/8.17,4.32))*TPDA!F9</f>
        <v>0</v>
      </c>
      <c r="J10" s="125">
        <f>TPDA!F9*$I$4*$I$5*$J$6</f>
        <v>0</v>
      </c>
      <c r="K10" s="125">
        <f>TPDA!G9*$K$4*$K$5*$K$6</f>
        <v>0</v>
      </c>
      <c r="L10" s="125">
        <f>TPDA!G9*$K$4*$K$5*$L$6</f>
        <v>0</v>
      </c>
      <c r="M10" s="125">
        <f>TPDA!H9*$M$4*$M$5*$M$6</f>
        <v>0</v>
      </c>
      <c r="N10" s="125">
        <f>TPDA!H9*$M$4*$M$5*$N$6</f>
        <v>0</v>
      </c>
      <c r="O10" s="125">
        <f>TPDA!I9*$O$4*$O$5*$O$6</f>
        <v>0</v>
      </c>
      <c r="P10" s="125">
        <f>TPDA!I9*$O$4*$O$5*$P$6</f>
        <v>0</v>
      </c>
      <c r="Q10" s="125">
        <f>TPDA!J9*$Q$4*$Q$5*$Q$6</f>
        <v>0</v>
      </c>
      <c r="R10" s="125">
        <f>TPDA!J9*$Q$4*$Q$5*$R$6</f>
        <v>0</v>
      </c>
      <c r="S10" s="125">
        <f>TPDA!K9*$S$4*$S$5*$S$6</f>
        <v>0</v>
      </c>
      <c r="T10" s="125">
        <f>TPDA!K9*$S$4*$S$5*$T$6</f>
        <v>0</v>
      </c>
      <c r="U10" s="125">
        <f>TPDA!L9*$U$4*$U$5*$U$6</f>
        <v>0</v>
      </c>
      <c r="V10" s="125">
        <f>TPDA!L9*$U$4*$U$5*$V$6</f>
        <v>0</v>
      </c>
      <c r="W10" s="125">
        <f>TPDA!M9*$W$4*$W$5*$W$6</f>
        <v>0</v>
      </c>
      <c r="X10" s="125">
        <f>TPDA!M9*$W$4*$W$5*$X$6</f>
        <v>0</v>
      </c>
      <c r="Y10" s="125">
        <f>TPDA!N9*$Y$4*$Y$5*$Y$6</f>
        <v>0</v>
      </c>
      <c r="Z10" s="125">
        <f>TPDA!N9*$Y$4*$Y$5*$Z$6</f>
        <v>0</v>
      </c>
      <c r="AA10" s="126">
        <f t="shared" si="2"/>
        <v>0</v>
      </c>
      <c r="AB10" s="106">
        <f t="shared" si="0"/>
        <v>0</v>
      </c>
    </row>
    <row r="11" spans="1:38" x14ac:dyDescent="0.25">
      <c r="A11" s="123">
        <f t="shared" si="1"/>
        <v>2024</v>
      </c>
      <c r="B11" s="128"/>
      <c r="C11" s="125">
        <f>TPDA!C10*'EE1'!$C$4:$D$4*'EE1'!$C$5:$D$5*$C$6</f>
        <v>0</v>
      </c>
      <c r="D11" s="125">
        <f>TPDA!C10*'EE1'!$C$4*'EE1'!$C$5*$D$6</f>
        <v>0</v>
      </c>
      <c r="E11" s="125">
        <f>TPDA!D10*$E$4*$E$5*$E$6</f>
        <v>0</v>
      </c>
      <c r="F11" s="125">
        <f>TPDA!D10*$E$5*$E$5*$F$6</f>
        <v>0</v>
      </c>
      <c r="G11" s="125">
        <f>TPDA!E10*$G$4*$G$5*$G$6</f>
        <v>0</v>
      </c>
      <c r="H11" s="125">
        <f>TPDA!E10*$G$4*$G$5*$H$6</f>
        <v>0</v>
      </c>
      <c r="I11" s="125">
        <f>(POWER((0.2*5.5)/8.17,4.32))*TPDA!F10</f>
        <v>0</v>
      </c>
      <c r="J11" s="125">
        <f>TPDA!F10*$I$4*$I$5*$J$6</f>
        <v>0</v>
      </c>
      <c r="K11" s="125">
        <f>TPDA!G10*$K$4*$K$5*$K$6</f>
        <v>0</v>
      </c>
      <c r="L11" s="125">
        <f>TPDA!G10*$K$4*$K$5*$L$6</f>
        <v>0</v>
      </c>
      <c r="M11" s="125">
        <f>TPDA!H10*$M$4*$M$5*$M$6</f>
        <v>0</v>
      </c>
      <c r="N11" s="125">
        <f>TPDA!H10*$M$4*$M$5*$N$6</f>
        <v>0</v>
      </c>
      <c r="O11" s="125">
        <f>TPDA!I10*$O$4*$O$5*$O$6</f>
        <v>0</v>
      </c>
      <c r="P11" s="125">
        <f>TPDA!I10*$O$4*$O$5*$P$6</f>
        <v>0</v>
      </c>
      <c r="Q11" s="125">
        <f>TPDA!J10*$Q$4*$Q$5*$Q$6</f>
        <v>0</v>
      </c>
      <c r="R11" s="125">
        <f>TPDA!J10*$Q$4*$Q$5*$R$6</f>
        <v>0</v>
      </c>
      <c r="S11" s="125">
        <f>TPDA!K10*$S$4*$S$5*$S$6</f>
        <v>0</v>
      </c>
      <c r="T11" s="125">
        <f>TPDA!K10*$S$4*$S$5*$T$6</f>
        <v>0</v>
      </c>
      <c r="U11" s="125">
        <f>TPDA!L10*$U$4*$U$5*$U$6</f>
        <v>0</v>
      </c>
      <c r="V11" s="125">
        <f>TPDA!L10*$U$4*$U$5*$V$6</f>
        <v>0</v>
      </c>
      <c r="W11" s="125">
        <f>TPDA!M10*$W$4*$W$5*$W$6</f>
        <v>0</v>
      </c>
      <c r="X11" s="125">
        <f>TPDA!M10*$W$4*$W$5*$X$6</f>
        <v>0</v>
      </c>
      <c r="Y11" s="125">
        <f>TPDA!N10*$Y$4*$Y$5*$Y$6</f>
        <v>0</v>
      </c>
      <c r="Z11" s="125">
        <f>TPDA!N10*$Y$4*$Y$5*$Z$6</f>
        <v>0</v>
      </c>
      <c r="AA11" s="126">
        <f t="shared" si="2"/>
        <v>0</v>
      </c>
      <c r="AB11" s="106">
        <f t="shared" si="0"/>
        <v>0</v>
      </c>
    </row>
    <row r="12" spans="1:38" x14ac:dyDescent="0.25">
      <c r="A12" s="123">
        <f t="shared" si="1"/>
        <v>2025</v>
      </c>
      <c r="B12" s="128"/>
      <c r="C12" s="125">
        <f>TPDA!C11*'EE1'!$C$4:$D$4*'EE1'!$C$5:$D$5*$C$6</f>
        <v>0</v>
      </c>
      <c r="D12" s="125">
        <f>TPDA!C11*'EE1'!$C$4*'EE1'!$C$5*$D$6</f>
        <v>0</v>
      </c>
      <c r="E12" s="125">
        <f>TPDA!D11*$E$4*$E$5*$E$6</f>
        <v>0</v>
      </c>
      <c r="F12" s="125">
        <f>TPDA!D11*$E$5*$E$5*$F$6</f>
        <v>0</v>
      </c>
      <c r="G12" s="125">
        <f>TPDA!E11*$G$4*$G$5*$G$6</f>
        <v>0</v>
      </c>
      <c r="H12" s="125">
        <f>TPDA!E11*$G$4*$G$5*$H$6</f>
        <v>0</v>
      </c>
      <c r="I12" s="125">
        <f>(POWER((0.2*5.5)/8.17,4.32))*TPDA!F11</f>
        <v>0</v>
      </c>
      <c r="J12" s="125">
        <f>TPDA!F11*$I$4*$I$5*$J$6</f>
        <v>0</v>
      </c>
      <c r="K12" s="125">
        <f>TPDA!G11*$K$4*$K$5*$K$6</f>
        <v>0</v>
      </c>
      <c r="L12" s="125">
        <f>TPDA!G11*$K$4*$K$5*$L$6</f>
        <v>0</v>
      </c>
      <c r="M12" s="125">
        <f>TPDA!H11*$M$4*$M$5*$M$6</f>
        <v>0</v>
      </c>
      <c r="N12" s="125">
        <f>TPDA!H11*$M$4*$M$5*$N$6</f>
        <v>0</v>
      </c>
      <c r="O12" s="125">
        <f>TPDA!I11*$O$4*$O$5*$O$6</f>
        <v>0</v>
      </c>
      <c r="P12" s="125">
        <f>TPDA!I11*$O$4*$O$5*$P$6</f>
        <v>0</v>
      </c>
      <c r="Q12" s="125">
        <f>TPDA!J11*$Q$4*$Q$5*$Q$6</f>
        <v>0</v>
      </c>
      <c r="R12" s="125">
        <f>TPDA!J11*$Q$4*$Q$5*$R$6</f>
        <v>0</v>
      </c>
      <c r="S12" s="125">
        <f>TPDA!K11*$S$4*$S$5*$S$6</f>
        <v>0</v>
      </c>
      <c r="T12" s="125">
        <f>TPDA!K11*$S$4*$S$5*$T$6</f>
        <v>0</v>
      </c>
      <c r="U12" s="125">
        <f>TPDA!L11*$U$4*$U$5*$U$6</f>
        <v>0</v>
      </c>
      <c r="V12" s="125">
        <f>TPDA!L11*$U$4*$U$5*$V$6</f>
        <v>0</v>
      </c>
      <c r="W12" s="125">
        <f>TPDA!M11*$W$4*$W$5*$W$6</f>
        <v>0</v>
      </c>
      <c r="X12" s="125">
        <f>TPDA!M11*$W$4*$W$5*$X$6</f>
        <v>0</v>
      </c>
      <c r="Y12" s="125">
        <f>TPDA!N11*$Y$4*$Y$5*$Y$6</f>
        <v>0</v>
      </c>
      <c r="Z12" s="125">
        <f>TPDA!N11*$Y$4*$Y$5*$Z$6</f>
        <v>0</v>
      </c>
      <c r="AA12" s="126">
        <f t="shared" si="2"/>
        <v>0</v>
      </c>
      <c r="AB12" s="106">
        <f t="shared" si="0"/>
        <v>0</v>
      </c>
    </row>
    <row r="13" spans="1:38" ht="15.6" customHeight="1" x14ac:dyDescent="0.25">
      <c r="A13" s="123">
        <f t="shared" si="1"/>
        <v>2026</v>
      </c>
      <c r="B13" s="129" t="s">
        <v>120</v>
      </c>
      <c r="C13" s="125">
        <f>TPDA!C12*'EE1'!$C$4:$D$4*'EE1'!$C$5:$D$5*$C$6</f>
        <v>0</v>
      </c>
      <c r="D13" s="125">
        <f>TPDA!C12*'EE1'!$C$4*'EE1'!$C$5*$D$6</f>
        <v>0</v>
      </c>
      <c r="E13" s="125">
        <f>TPDA!D12*$E$4*$E$5*$E$6</f>
        <v>0</v>
      </c>
      <c r="F13" s="125">
        <f>TPDA!D12*$E$5*$E$5*$F$6</f>
        <v>0</v>
      </c>
      <c r="G13" s="125">
        <f>TPDA!E12*$G$4*$G$5*$G$6</f>
        <v>0</v>
      </c>
      <c r="H13" s="125">
        <f>TPDA!E12*$G$4*$G$5*$H$6</f>
        <v>0</v>
      </c>
      <c r="I13" s="125">
        <f>(POWER((0.2*5.5)/8.17,4.32))*TPDA!F12</f>
        <v>0</v>
      </c>
      <c r="J13" s="125">
        <f>TPDA!F12*$I$4*$I$5*$J$6</f>
        <v>0</v>
      </c>
      <c r="K13" s="125">
        <f>TPDA!G12*$K$4*$K$5*$K$6</f>
        <v>0</v>
      </c>
      <c r="L13" s="125">
        <f>TPDA!G12*$K$4*$K$5*$L$6</f>
        <v>0</v>
      </c>
      <c r="M13" s="125">
        <f>TPDA!H12*$M$4*$M$5*$M$6</f>
        <v>0</v>
      </c>
      <c r="N13" s="125">
        <f>TPDA!H12*$M$4*$M$5*$N$6</f>
        <v>0</v>
      </c>
      <c r="O13" s="125">
        <f>TPDA!I12*$O$4*$O$5*$O$6</f>
        <v>0</v>
      </c>
      <c r="P13" s="125">
        <f>TPDA!I12*$O$4*$O$5*$P$6</f>
        <v>0</v>
      </c>
      <c r="Q13" s="125">
        <f>TPDA!J12*$Q$4*$Q$5*$Q$6</f>
        <v>0</v>
      </c>
      <c r="R13" s="125">
        <f>TPDA!J12*$Q$4*$Q$5*$R$6</f>
        <v>0</v>
      </c>
      <c r="S13" s="125">
        <f>TPDA!K12*$S$4*$S$5*$S$6</f>
        <v>0</v>
      </c>
      <c r="T13" s="125">
        <f>TPDA!K12*$S$4*$S$5*$T$6</f>
        <v>0</v>
      </c>
      <c r="U13" s="125">
        <f>TPDA!L12*$U$4*$U$5*$U$6</f>
        <v>0</v>
      </c>
      <c r="V13" s="125">
        <f>TPDA!L12*$U$4*$U$5*$V$6</f>
        <v>0</v>
      </c>
      <c r="W13" s="125">
        <f>TPDA!M12*$W$4*$W$5*$W$6</f>
        <v>0</v>
      </c>
      <c r="X13" s="125">
        <f>TPDA!M12*$W$4*$W$5*$X$6</f>
        <v>0</v>
      </c>
      <c r="Y13" s="125">
        <f>TPDA!N12*$Y$4*$Y$5*$Y$6</f>
        <v>0</v>
      </c>
      <c r="Z13" s="125">
        <f>TPDA!N12*$Y$4*$Y$5*$Z$6</f>
        <v>0</v>
      </c>
      <c r="AA13" s="126">
        <f t="shared" si="2"/>
        <v>0</v>
      </c>
      <c r="AB13" s="106">
        <f t="shared" si="0"/>
        <v>0</v>
      </c>
    </row>
    <row r="14" spans="1:38" x14ac:dyDescent="0.25">
      <c r="A14" s="123">
        <f t="shared" si="1"/>
        <v>2027</v>
      </c>
      <c r="B14" s="130"/>
      <c r="C14" s="125">
        <f>TPDA!C13*'EE1'!$C$4:$D$4*'EE1'!$C$5:$D$5*$C$6</f>
        <v>0</v>
      </c>
      <c r="D14" s="125">
        <f>TPDA!C13*'EE1'!$C$4*'EE1'!$C$5*$D$6</f>
        <v>0</v>
      </c>
      <c r="E14" s="125">
        <f>TPDA!D13*$E$4*$E$5*$E$6</f>
        <v>0</v>
      </c>
      <c r="F14" s="125">
        <f>TPDA!D13*$E$5*$E$5*$F$6</f>
        <v>0</v>
      </c>
      <c r="G14" s="125">
        <f>TPDA!E13*$G$4*$G$5*$G$6</f>
        <v>0</v>
      </c>
      <c r="H14" s="125">
        <f>TPDA!E13*$G$4*$G$5*$H$6</f>
        <v>0</v>
      </c>
      <c r="I14" s="125">
        <f>(POWER((0.2*5.5)/8.17,4.32))*TPDA!F13</f>
        <v>0</v>
      </c>
      <c r="J14" s="125">
        <f>TPDA!F13*$I$4*$I$5*$J$6</f>
        <v>0</v>
      </c>
      <c r="K14" s="125">
        <f>TPDA!G13*$K$4*$K$5*$K$6</f>
        <v>0</v>
      </c>
      <c r="L14" s="125">
        <f>TPDA!G13*$K$4*$K$5*$L$6</f>
        <v>0</v>
      </c>
      <c r="M14" s="125">
        <f>TPDA!H13*$M$4*$M$5*$M$6</f>
        <v>0</v>
      </c>
      <c r="N14" s="125">
        <f>TPDA!H13*$M$4*$M$5*$N$6</f>
        <v>0</v>
      </c>
      <c r="O14" s="125">
        <f>TPDA!I13*$O$4*$O$5*$O$6</f>
        <v>0</v>
      </c>
      <c r="P14" s="125">
        <f>TPDA!I13*$O$4*$O$5*$P$6</f>
        <v>0</v>
      </c>
      <c r="Q14" s="125">
        <f>TPDA!J13*$Q$4*$Q$5*$Q$6</f>
        <v>0</v>
      </c>
      <c r="R14" s="125">
        <f>TPDA!J13*$Q$4*$Q$5*$R$6</f>
        <v>0</v>
      </c>
      <c r="S14" s="125">
        <f>TPDA!K13*$S$4*$S$5*$S$6</f>
        <v>0</v>
      </c>
      <c r="T14" s="125">
        <f>TPDA!K13*$S$4*$S$5*$T$6</f>
        <v>0</v>
      </c>
      <c r="U14" s="125">
        <f>TPDA!L13*$U$4*$U$5*$U$6</f>
        <v>0</v>
      </c>
      <c r="V14" s="125">
        <f>TPDA!L13*$U$4*$U$5*$V$6</f>
        <v>0</v>
      </c>
      <c r="W14" s="125">
        <f>TPDA!M13*$W$4*$W$5*$W$6</f>
        <v>0</v>
      </c>
      <c r="X14" s="125">
        <f>TPDA!M13*$W$4*$W$5*$X$6</f>
        <v>0</v>
      </c>
      <c r="Y14" s="125">
        <f>TPDA!N13*$Y$4*$Y$5*$Y$6</f>
        <v>0</v>
      </c>
      <c r="Z14" s="125">
        <f>TPDA!N13*$Y$4*$Y$5*$Z$6</f>
        <v>0</v>
      </c>
      <c r="AA14" s="126">
        <f t="shared" si="2"/>
        <v>0</v>
      </c>
      <c r="AB14" s="106">
        <f t="shared" si="0"/>
        <v>0</v>
      </c>
      <c r="AL14" s="131">
        <f>(18/15.08)^4.14</f>
        <v>2.0808779928782002</v>
      </c>
    </row>
    <row r="15" spans="1:38" x14ac:dyDescent="0.25">
      <c r="A15" s="123">
        <f t="shared" si="1"/>
        <v>2028</v>
      </c>
      <c r="B15" s="130"/>
      <c r="C15" s="125">
        <f>TPDA!C14*'EE1'!$C$4:$D$4*'EE1'!$C$5:$D$5*$C$6</f>
        <v>0</v>
      </c>
      <c r="D15" s="125">
        <f>TPDA!C14*'EE1'!$C$4*'EE1'!$C$5*$D$6</f>
        <v>0</v>
      </c>
      <c r="E15" s="125">
        <f>TPDA!D14*$E$4*$E$5*$E$6</f>
        <v>0</v>
      </c>
      <c r="F15" s="125">
        <f>TPDA!D14*$E$5*$E$5*$F$6</f>
        <v>0</v>
      </c>
      <c r="G15" s="125">
        <f>TPDA!E14*$G$4*$G$5*$G$6</f>
        <v>0</v>
      </c>
      <c r="H15" s="125">
        <f>TPDA!E14*$G$4*$G$5*$H$6</f>
        <v>0</v>
      </c>
      <c r="I15" s="125">
        <f>(POWER((0.2*5.5)/8.17,4.32))*TPDA!F14</f>
        <v>0</v>
      </c>
      <c r="J15" s="125">
        <f>TPDA!F14*$I$4*$I$5*$J$6</f>
        <v>0</v>
      </c>
      <c r="K15" s="125">
        <f>TPDA!G14*$K$4*$K$5*$K$6</f>
        <v>0</v>
      </c>
      <c r="L15" s="125">
        <f>TPDA!G14*$K$4*$K$5*$L$6</f>
        <v>0</v>
      </c>
      <c r="M15" s="125">
        <f>TPDA!H14*$M$4*$M$5*$M$6</f>
        <v>0</v>
      </c>
      <c r="N15" s="125">
        <f>TPDA!H14*$M$4*$M$5*$N$6</f>
        <v>0</v>
      </c>
      <c r="O15" s="125">
        <f>TPDA!I14*$O$4*$O$5*$O$6</f>
        <v>0</v>
      </c>
      <c r="P15" s="125">
        <f>TPDA!I14*$O$4*$O$5*$P$6</f>
        <v>0</v>
      </c>
      <c r="Q15" s="125">
        <f>TPDA!J14*$Q$4*$Q$5*$Q$6</f>
        <v>0</v>
      </c>
      <c r="R15" s="125">
        <f>TPDA!J14*$Q$4*$Q$5*$R$6</f>
        <v>0</v>
      </c>
      <c r="S15" s="125">
        <f>TPDA!K14*$S$4*$S$5*$S$6</f>
        <v>0</v>
      </c>
      <c r="T15" s="125">
        <f>TPDA!K14*$S$4*$S$5*$T$6</f>
        <v>0</v>
      </c>
      <c r="U15" s="125">
        <f>TPDA!L14*$U$4*$U$5*$U$6</f>
        <v>0</v>
      </c>
      <c r="V15" s="125">
        <f>TPDA!L14*$U$4*$U$5*$V$6</f>
        <v>0</v>
      </c>
      <c r="W15" s="125">
        <f>TPDA!M14*$W$4*$W$5*$W$6</f>
        <v>0</v>
      </c>
      <c r="X15" s="125">
        <f>TPDA!M14*$W$4*$W$5*$X$6</f>
        <v>0</v>
      </c>
      <c r="Y15" s="125">
        <f>TPDA!N14*$Y$4*$Y$5*$Y$6</f>
        <v>0</v>
      </c>
      <c r="Z15" s="125">
        <f>TPDA!N14*$Y$4*$Y$5*$Z$6</f>
        <v>0</v>
      </c>
      <c r="AA15" s="126">
        <f t="shared" si="2"/>
        <v>0</v>
      </c>
      <c r="AB15" s="106">
        <f t="shared" si="0"/>
        <v>0</v>
      </c>
    </row>
    <row r="16" spans="1:38" x14ac:dyDescent="0.25">
      <c r="A16" s="123">
        <f t="shared" si="1"/>
        <v>2029</v>
      </c>
      <c r="B16" s="130"/>
      <c r="C16" s="125">
        <f>TPDA!C15*'EE1'!$C$4:$D$4*'EE1'!$C$5:$D$5*$C$6</f>
        <v>0</v>
      </c>
      <c r="D16" s="125">
        <f>TPDA!C15*'EE1'!$C$4*'EE1'!$C$5*$D$6</f>
        <v>0</v>
      </c>
      <c r="E16" s="125">
        <f>TPDA!D15*$E$4*$E$5*$E$6</f>
        <v>0</v>
      </c>
      <c r="F16" s="125">
        <f>TPDA!D15*$E$5*$E$5*$F$6</f>
        <v>0</v>
      </c>
      <c r="G16" s="125">
        <f>TPDA!E15*$G$4*$G$5*$G$6</f>
        <v>0</v>
      </c>
      <c r="H16" s="125">
        <f>TPDA!E15*$G$4*$G$5*$H$6</f>
        <v>0</v>
      </c>
      <c r="I16" s="125">
        <f>(POWER((0.2*5.5)/8.17,4.32))*TPDA!F15</f>
        <v>0</v>
      </c>
      <c r="J16" s="125">
        <f>TPDA!F15*$I$4*$I$5*$J$6</f>
        <v>0</v>
      </c>
      <c r="K16" s="125">
        <f>TPDA!G15*$K$4*$K$5*$K$6</f>
        <v>0</v>
      </c>
      <c r="L16" s="125">
        <f>TPDA!G15*$K$4*$K$5*$L$6</f>
        <v>0</v>
      </c>
      <c r="M16" s="125">
        <f>TPDA!H15*$M$4*$M$5*$M$6</f>
        <v>0</v>
      </c>
      <c r="N16" s="125">
        <f>TPDA!H15*$M$4*$M$5*$N$6</f>
        <v>0</v>
      </c>
      <c r="O16" s="125">
        <f>TPDA!I15*$O$4*$O$5*$O$6</f>
        <v>0</v>
      </c>
      <c r="P16" s="125">
        <f>TPDA!I15*$O$4*$O$5*$P$6</f>
        <v>0</v>
      </c>
      <c r="Q16" s="125">
        <f>TPDA!J15*$Q$4*$Q$5*$Q$6</f>
        <v>0</v>
      </c>
      <c r="R16" s="125">
        <f>TPDA!J15*$Q$4*$Q$5*$R$6</f>
        <v>0</v>
      </c>
      <c r="S16" s="125">
        <f>TPDA!K15*$S$4*$S$5*$S$6</f>
        <v>0</v>
      </c>
      <c r="T16" s="125">
        <f>TPDA!K15*$S$4*$S$5*$T$6</f>
        <v>0</v>
      </c>
      <c r="U16" s="125">
        <f>TPDA!L15*$U$4*$U$5*$U$6</f>
        <v>0</v>
      </c>
      <c r="V16" s="125">
        <f>TPDA!L15*$U$4*$U$5*$V$6</f>
        <v>0</v>
      </c>
      <c r="W16" s="125">
        <f>TPDA!M15*$W$4*$W$5*$W$6</f>
        <v>0</v>
      </c>
      <c r="X16" s="125">
        <f>TPDA!M15*$W$4*$W$5*$X$6</f>
        <v>0</v>
      </c>
      <c r="Y16" s="125">
        <f>TPDA!N15*$Y$4*$Y$5*$Y$6</f>
        <v>0</v>
      </c>
      <c r="Z16" s="125">
        <f>TPDA!N15*$Y$4*$Y$5*$Z$6</f>
        <v>0</v>
      </c>
      <c r="AA16" s="126">
        <f t="shared" si="2"/>
        <v>0</v>
      </c>
      <c r="AB16" s="106">
        <f t="shared" si="0"/>
        <v>0</v>
      </c>
    </row>
    <row r="17" spans="1:38" x14ac:dyDescent="0.25">
      <c r="A17" s="123">
        <f t="shared" si="1"/>
        <v>2030</v>
      </c>
      <c r="B17" s="130"/>
      <c r="C17" s="125">
        <f>TPDA!C16*'EE1'!$C$4:$D$4*'EE1'!$C$5:$D$5*$C$6</f>
        <v>0</v>
      </c>
      <c r="D17" s="125">
        <f>TPDA!C16*'EE1'!$C$4*'EE1'!$C$5*$D$6</f>
        <v>0</v>
      </c>
      <c r="E17" s="125">
        <f>TPDA!D16*$E$4*$E$5*$E$6</f>
        <v>0</v>
      </c>
      <c r="F17" s="125">
        <f>TPDA!D16*$E$5*$E$5*$F$6</f>
        <v>0</v>
      </c>
      <c r="G17" s="125">
        <f>TPDA!E16*$G$4*$G$5*$G$6</f>
        <v>0</v>
      </c>
      <c r="H17" s="125">
        <f>TPDA!E16*$G$4*$G$5*$H$6</f>
        <v>0</v>
      </c>
      <c r="I17" s="125">
        <f>(POWER((0.2*5.5)/8.17,4.32))*TPDA!F16</f>
        <v>0</v>
      </c>
      <c r="J17" s="125">
        <f>TPDA!F16*$I$4*$I$5*$J$6</f>
        <v>0</v>
      </c>
      <c r="K17" s="125">
        <f>TPDA!G16*$K$4*$K$5*$K$6</f>
        <v>0</v>
      </c>
      <c r="L17" s="125">
        <f>TPDA!G16*$K$4*$K$5*$L$6</f>
        <v>0</v>
      </c>
      <c r="M17" s="125">
        <f>TPDA!H16*$M$4*$M$5*$M$6</f>
        <v>0</v>
      </c>
      <c r="N17" s="125">
        <f>TPDA!H16*$M$4*$M$5*$N$6</f>
        <v>0</v>
      </c>
      <c r="O17" s="125">
        <f>TPDA!I16*$O$4*$O$5*$O$6</f>
        <v>0</v>
      </c>
      <c r="P17" s="125">
        <f>TPDA!I16*$O$4*$O$5*$P$6</f>
        <v>0</v>
      </c>
      <c r="Q17" s="125">
        <f>TPDA!J16*$Q$4*$Q$5*$Q$6</f>
        <v>0</v>
      </c>
      <c r="R17" s="125">
        <f>TPDA!J16*$Q$4*$Q$5*$R$6</f>
        <v>0</v>
      </c>
      <c r="S17" s="125">
        <f>TPDA!K16*$S$4*$S$5*$S$6</f>
        <v>0</v>
      </c>
      <c r="T17" s="125">
        <f>TPDA!K16*$S$4*$S$5*$T$6</f>
        <v>0</v>
      </c>
      <c r="U17" s="125">
        <f>TPDA!L16*$U$4*$U$5*$U$6</f>
        <v>0</v>
      </c>
      <c r="V17" s="125">
        <f>TPDA!L16*$U$4*$U$5*$V$6</f>
        <v>0</v>
      </c>
      <c r="W17" s="125">
        <f>TPDA!M16*$W$4*$W$5*$W$6</f>
        <v>0</v>
      </c>
      <c r="X17" s="125">
        <f>TPDA!M16*$W$4*$W$5*$X$6</f>
        <v>0</v>
      </c>
      <c r="Y17" s="125">
        <f>TPDA!N16*$Y$4*$Y$5*$Y$6</f>
        <v>0</v>
      </c>
      <c r="Z17" s="125">
        <f>TPDA!N16*$Y$4*$Y$5*$Z$6</f>
        <v>0</v>
      </c>
      <c r="AA17" s="126">
        <f t="shared" si="2"/>
        <v>0</v>
      </c>
      <c r="AB17" s="106">
        <f t="shared" si="0"/>
        <v>0</v>
      </c>
    </row>
    <row r="18" spans="1:38" x14ac:dyDescent="0.25">
      <c r="A18" s="123">
        <f t="shared" si="1"/>
        <v>2031</v>
      </c>
      <c r="B18" s="130"/>
      <c r="C18" s="125">
        <f>TPDA!C17*'EE1'!$C$4:$D$4*'EE1'!$C$5:$D$5*$C$6</f>
        <v>0</v>
      </c>
      <c r="D18" s="125">
        <f>TPDA!C17*'EE1'!$C$4*'EE1'!$C$5*$D$6</f>
        <v>0</v>
      </c>
      <c r="E18" s="125">
        <f>TPDA!D17*$E$4*$E$5*$E$6</f>
        <v>0</v>
      </c>
      <c r="F18" s="125">
        <f>TPDA!D17*$E$5*$E$5*$F$6</f>
        <v>0</v>
      </c>
      <c r="G18" s="125">
        <f>TPDA!E17*$G$4*$G$5*$G$6</f>
        <v>0</v>
      </c>
      <c r="H18" s="125">
        <f>TPDA!E17*$G$4*$G$5*$H$6</f>
        <v>0</v>
      </c>
      <c r="I18" s="125">
        <f>(POWER((0.2*5.5)/8.17,4.32))*TPDA!F17</f>
        <v>0</v>
      </c>
      <c r="J18" s="125">
        <f>TPDA!F17*$I$4*$I$5*$J$6</f>
        <v>0</v>
      </c>
      <c r="K18" s="125">
        <f>TPDA!G17*$K$4*$K$5*$K$6</f>
        <v>0</v>
      </c>
      <c r="L18" s="125">
        <f>TPDA!G17*$K$4*$K$5*$L$6</f>
        <v>0</v>
      </c>
      <c r="M18" s="125">
        <f>TPDA!H17*$M$4*$M$5*$M$6</f>
        <v>0</v>
      </c>
      <c r="N18" s="125">
        <f>TPDA!H17*$M$4*$M$5*$N$6</f>
        <v>0</v>
      </c>
      <c r="O18" s="125">
        <f>TPDA!I17*$O$4*$O$5*$O$6</f>
        <v>0</v>
      </c>
      <c r="P18" s="125">
        <f>TPDA!I17*$O$4*$O$5*$P$6</f>
        <v>0</v>
      </c>
      <c r="Q18" s="125">
        <f>TPDA!J17*$Q$4*$Q$5*$Q$6</f>
        <v>0</v>
      </c>
      <c r="R18" s="125">
        <f>TPDA!J17*$Q$4*$Q$5*$R$6</f>
        <v>0</v>
      </c>
      <c r="S18" s="125">
        <f>TPDA!K17*$S$4*$S$5*$S$6</f>
        <v>0</v>
      </c>
      <c r="T18" s="125">
        <f>TPDA!K17*$S$4*$S$5*$T$6</f>
        <v>0</v>
      </c>
      <c r="U18" s="125">
        <f>TPDA!L17*$U$4*$U$5*$U$6</f>
        <v>0</v>
      </c>
      <c r="V18" s="125">
        <f>TPDA!L17*$U$4*$U$5*$V$6</f>
        <v>0</v>
      </c>
      <c r="W18" s="125">
        <f>TPDA!M17*$W$4*$W$5*$W$6</f>
        <v>0</v>
      </c>
      <c r="X18" s="125">
        <f>TPDA!M17*$W$4*$W$5*$X$6</f>
        <v>0</v>
      </c>
      <c r="Y18" s="125">
        <f>TPDA!N17*$Y$4*$Y$5*$Y$6</f>
        <v>0</v>
      </c>
      <c r="Z18" s="125">
        <f>TPDA!N17*$Y$4*$Y$5*$Z$6</f>
        <v>0</v>
      </c>
      <c r="AA18" s="126">
        <f t="shared" si="2"/>
        <v>0</v>
      </c>
      <c r="AB18" s="106">
        <f t="shared" si="0"/>
        <v>0</v>
      </c>
      <c r="AL18" s="132">
        <f>(25/22.98)^4.22</f>
        <v>1.4269532134813139</v>
      </c>
    </row>
    <row r="19" spans="1:38" x14ac:dyDescent="0.25">
      <c r="A19" s="123">
        <f t="shared" si="1"/>
        <v>2032</v>
      </c>
      <c r="B19" s="130"/>
      <c r="C19" s="125">
        <f>TPDA!C18*'EE1'!$C$4:$D$4*'EE1'!$C$5:$D$5*$C$6</f>
        <v>0</v>
      </c>
      <c r="D19" s="125">
        <f>TPDA!C18*'EE1'!$C$4*'EE1'!$C$5*$D$6</f>
        <v>0</v>
      </c>
      <c r="E19" s="125">
        <f>TPDA!D18*$E$4*$E$5*$E$6</f>
        <v>0</v>
      </c>
      <c r="F19" s="125">
        <f>TPDA!D18*$E$5*$E$5*$F$6</f>
        <v>0</v>
      </c>
      <c r="G19" s="125">
        <f>TPDA!E18*$G$4*$G$5*$G$6</f>
        <v>0</v>
      </c>
      <c r="H19" s="125">
        <f>TPDA!E18*$G$4*$G$5*$H$6</f>
        <v>0</v>
      </c>
      <c r="I19" s="125">
        <f>(POWER((0.2*5.5)/8.17,4.32))*TPDA!F18</f>
        <v>0</v>
      </c>
      <c r="J19" s="125">
        <f>TPDA!F18*$I$4*$I$5*$J$6</f>
        <v>0</v>
      </c>
      <c r="K19" s="125">
        <f>TPDA!G18*$K$4*$K$5*$K$6</f>
        <v>0</v>
      </c>
      <c r="L19" s="125">
        <f>TPDA!G18*$K$4*$K$5*$L$6</f>
        <v>0</v>
      </c>
      <c r="M19" s="125">
        <f>TPDA!H18*$M$4*$M$5*$M$6</f>
        <v>0</v>
      </c>
      <c r="N19" s="125">
        <f>TPDA!H18*$M$4*$M$5*$N$6</f>
        <v>0</v>
      </c>
      <c r="O19" s="125">
        <f>TPDA!I18*$O$4*$O$5*$O$6</f>
        <v>0</v>
      </c>
      <c r="P19" s="125">
        <f>TPDA!I18*$O$4*$O$5*$P$6</f>
        <v>0</v>
      </c>
      <c r="Q19" s="125">
        <f>TPDA!J18*$Q$4*$Q$5*$Q$6</f>
        <v>0</v>
      </c>
      <c r="R19" s="125">
        <f>TPDA!J18*$Q$4*$Q$5*$R$6</f>
        <v>0</v>
      </c>
      <c r="S19" s="125">
        <f>TPDA!K18*$S$4*$S$5*$S$6</f>
        <v>0</v>
      </c>
      <c r="T19" s="125">
        <f>TPDA!K18*$S$4*$S$5*$T$6</f>
        <v>0</v>
      </c>
      <c r="U19" s="125">
        <f>TPDA!L18*$U$4*$U$5*$U$6</f>
        <v>0</v>
      </c>
      <c r="V19" s="125">
        <f>TPDA!L18*$U$4*$U$5*$V$6</f>
        <v>0</v>
      </c>
      <c r="W19" s="125">
        <f>TPDA!M18*$W$4*$W$5*$W$6</f>
        <v>0</v>
      </c>
      <c r="X19" s="125">
        <f>TPDA!M18*$W$4*$W$5*$X$6</f>
        <v>0</v>
      </c>
      <c r="Y19" s="125">
        <f>TPDA!N18*$Y$4*$Y$5*$Y$6</f>
        <v>0</v>
      </c>
      <c r="Z19" s="125">
        <f>TPDA!N18*$Y$4*$Y$5*$Z$6</f>
        <v>0</v>
      </c>
      <c r="AA19" s="126">
        <f t="shared" si="2"/>
        <v>0</v>
      </c>
      <c r="AB19" s="106">
        <f t="shared" si="0"/>
        <v>0</v>
      </c>
    </row>
    <row r="20" spans="1:38" x14ac:dyDescent="0.25">
      <c r="A20" s="123">
        <f t="shared" si="1"/>
        <v>2033</v>
      </c>
      <c r="B20" s="130"/>
      <c r="C20" s="125">
        <f>TPDA!C19*'EE1'!$C$4:$D$4*'EE1'!$C$5:$D$5*$C$6</f>
        <v>0</v>
      </c>
      <c r="D20" s="125">
        <f>TPDA!C19*'EE1'!$C$4*'EE1'!$C$5*$D$6</f>
        <v>0</v>
      </c>
      <c r="E20" s="125">
        <f>TPDA!D19*$E$4*$E$5*$E$6</f>
        <v>0</v>
      </c>
      <c r="F20" s="125">
        <f>TPDA!D19*$E$5*$E$5*$F$6</f>
        <v>0</v>
      </c>
      <c r="G20" s="125">
        <f>TPDA!E19*$G$4*$G$5*$G$6</f>
        <v>0</v>
      </c>
      <c r="H20" s="125">
        <f>TPDA!E19*$G$4*$G$5*$H$6</f>
        <v>0</v>
      </c>
      <c r="I20" s="125">
        <f>(POWER((0.2*5.5)/8.17,4.32))*TPDA!F19</f>
        <v>0</v>
      </c>
      <c r="J20" s="125">
        <f>TPDA!F19*$I$4*$I$5*$J$6</f>
        <v>0</v>
      </c>
      <c r="K20" s="125">
        <f>TPDA!G19*$K$4*$K$5*$K$6</f>
        <v>0</v>
      </c>
      <c r="L20" s="125">
        <f>TPDA!G19*$K$4*$K$5*$L$6</f>
        <v>0</v>
      </c>
      <c r="M20" s="125">
        <f>TPDA!H19*$M$4*$M$5*$M$6</f>
        <v>0</v>
      </c>
      <c r="N20" s="125">
        <f>TPDA!H19*$M$4*$M$5*$N$6</f>
        <v>0</v>
      </c>
      <c r="O20" s="125">
        <f>TPDA!I19*$O$4*$O$5*$O$6</f>
        <v>0</v>
      </c>
      <c r="P20" s="125">
        <f>TPDA!I19*$O$4*$O$5*$P$6</f>
        <v>0</v>
      </c>
      <c r="Q20" s="125">
        <f>TPDA!J19*$Q$4*$Q$5*$Q$6</f>
        <v>0</v>
      </c>
      <c r="R20" s="125">
        <f>TPDA!J19*$Q$4*$Q$5*$R$6</f>
        <v>0</v>
      </c>
      <c r="S20" s="125">
        <f>TPDA!K19*$S$4*$S$5*$S$6</f>
        <v>0</v>
      </c>
      <c r="T20" s="125">
        <f>TPDA!K19*$S$4*$S$5*$T$6</f>
        <v>0</v>
      </c>
      <c r="U20" s="125">
        <f>TPDA!L19*$U$4*$U$5*$U$6</f>
        <v>0</v>
      </c>
      <c r="V20" s="125">
        <f>TPDA!L19*$U$4*$U$5*$V$6</f>
        <v>0</v>
      </c>
      <c r="W20" s="125">
        <f>TPDA!M19*$W$4*$W$5*$W$6</f>
        <v>0</v>
      </c>
      <c r="X20" s="125">
        <f>TPDA!M19*$W$4*$W$5*$X$6</f>
        <v>0</v>
      </c>
      <c r="Y20" s="125">
        <f>TPDA!N19*$Y$4*$Y$5*$Y$6</f>
        <v>0</v>
      </c>
      <c r="Z20" s="125">
        <f>TPDA!N19*$Y$4*$Y$5*$Z$6</f>
        <v>0</v>
      </c>
      <c r="AA20" s="126">
        <f t="shared" si="2"/>
        <v>0</v>
      </c>
      <c r="AB20" s="106">
        <f t="shared" si="0"/>
        <v>0</v>
      </c>
    </row>
    <row r="21" spans="1:38" x14ac:dyDescent="0.25">
      <c r="A21" s="123">
        <f t="shared" si="1"/>
        <v>2034</v>
      </c>
      <c r="B21" s="130"/>
      <c r="C21" s="125">
        <f>TPDA!C20*'EE1'!$C$4:$D$4*'EE1'!$C$5:$D$5*$C$6</f>
        <v>0</v>
      </c>
      <c r="D21" s="125">
        <f>TPDA!C20*'EE1'!$C$4*'EE1'!$C$5*$D$6</f>
        <v>0</v>
      </c>
      <c r="E21" s="125">
        <f>TPDA!D20*$E$4*$E$5*$E$6</f>
        <v>0</v>
      </c>
      <c r="F21" s="125">
        <f>TPDA!D20*$E$5*$E$5*$F$6</f>
        <v>0</v>
      </c>
      <c r="G21" s="125">
        <f>TPDA!E20*$G$4*$G$5*$G$6</f>
        <v>0</v>
      </c>
      <c r="H21" s="125">
        <f>TPDA!E20*$G$4*$G$5*$H$6</f>
        <v>0</v>
      </c>
      <c r="I21" s="125">
        <f>(POWER((0.2*5.5)/8.17,4.32))*TPDA!F20</f>
        <v>0</v>
      </c>
      <c r="J21" s="125">
        <f>TPDA!F20*$I$4*$I$5*$J$6</f>
        <v>0</v>
      </c>
      <c r="K21" s="125">
        <f>TPDA!G20*$K$4*$K$5*$K$6</f>
        <v>0</v>
      </c>
      <c r="L21" s="125">
        <f>TPDA!G20*$K$4*$K$5*$L$6</f>
        <v>0</v>
      </c>
      <c r="M21" s="125">
        <f>TPDA!H20*$M$4*$M$5*$M$6</f>
        <v>0</v>
      </c>
      <c r="N21" s="125">
        <f>TPDA!H20*$M$4*$M$5*$N$6</f>
        <v>0</v>
      </c>
      <c r="O21" s="125">
        <f>TPDA!I20*$O$4*$O$5*$O$6</f>
        <v>0</v>
      </c>
      <c r="P21" s="125">
        <f>TPDA!I20*$O$4*$O$5*$P$6</f>
        <v>0</v>
      </c>
      <c r="Q21" s="125">
        <f>TPDA!J20*$Q$4*$Q$5*$Q$6</f>
        <v>0</v>
      </c>
      <c r="R21" s="125">
        <f>TPDA!J20*$Q$4*$Q$5*$R$6</f>
        <v>0</v>
      </c>
      <c r="S21" s="125">
        <f>TPDA!K20*$S$4*$S$5*$S$6</f>
        <v>0</v>
      </c>
      <c r="T21" s="125">
        <f>TPDA!K20*$S$4*$S$5*$T$6</f>
        <v>0</v>
      </c>
      <c r="U21" s="125">
        <f>TPDA!L20*$U$4*$U$5*$U$6</f>
        <v>0</v>
      </c>
      <c r="V21" s="125">
        <f>TPDA!L20*$U$4*$U$5*$V$6</f>
        <v>0</v>
      </c>
      <c r="W21" s="125">
        <f>TPDA!M20*$W$4*$W$5*$W$6</f>
        <v>0</v>
      </c>
      <c r="X21" s="125">
        <f>TPDA!M20*$W$4*$W$5*$X$6</f>
        <v>0</v>
      </c>
      <c r="Y21" s="125">
        <f>TPDA!N20*$Y$4*$Y$5*$Y$6</f>
        <v>0</v>
      </c>
      <c r="Z21" s="125">
        <f>TPDA!N20*$Y$4*$Y$5*$Z$6</f>
        <v>0</v>
      </c>
      <c r="AA21" s="126">
        <f t="shared" si="2"/>
        <v>0</v>
      </c>
      <c r="AB21" s="106">
        <f t="shared" si="0"/>
        <v>0</v>
      </c>
    </row>
    <row r="22" spans="1:38" x14ac:dyDescent="0.25">
      <c r="A22" s="123">
        <f t="shared" si="1"/>
        <v>2035</v>
      </c>
      <c r="B22" s="130"/>
      <c r="C22" s="125">
        <f>TPDA!C21*'EE1'!$C$4:$D$4*'EE1'!$C$5:$D$5*$C$6</f>
        <v>0</v>
      </c>
      <c r="D22" s="125">
        <f>TPDA!C21*'EE1'!$C$4*'EE1'!$C$5*$D$6</f>
        <v>0</v>
      </c>
      <c r="E22" s="125">
        <f>TPDA!D21*$E$4*$E$5*$E$6</f>
        <v>0</v>
      </c>
      <c r="F22" s="125">
        <f>TPDA!D21*$E$5*$E$5*$F$6</f>
        <v>0</v>
      </c>
      <c r="G22" s="125">
        <f>TPDA!E21*$G$4*$G$5*$G$6</f>
        <v>0</v>
      </c>
      <c r="H22" s="125">
        <f>TPDA!E21*$G$4*$G$5*$H$6</f>
        <v>0</v>
      </c>
      <c r="I22" s="125">
        <f>(POWER((0.2*5.5)/8.17,4.32))*TPDA!F21</f>
        <v>0</v>
      </c>
      <c r="J22" s="125">
        <f>TPDA!F21*$I$4*$I$5*$J$6</f>
        <v>0</v>
      </c>
      <c r="K22" s="125">
        <f>TPDA!G21*$K$4*$K$5*$K$6</f>
        <v>0</v>
      </c>
      <c r="L22" s="125">
        <f>TPDA!G21*$K$4*$K$5*$L$6</f>
        <v>0</v>
      </c>
      <c r="M22" s="125">
        <f>TPDA!H21*$M$4*$M$5*$M$6</f>
        <v>0</v>
      </c>
      <c r="N22" s="125">
        <f>TPDA!H21*$M$4*$M$5*$N$6</f>
        <v>0</v>
      </c>
      <c r="O22" s="125">
        <f>TPDA!I21*$O$4*$O$5*$O$6</f>
        <v>0</v>
      </c>
      <c r="P22" s="125">
        <f>TPDA!I21*$O$4*$O$5*$P$6</f>
        <v>0</v>
      </c>
      <c r="Q22" s="125">
        <f>TPDA!J21*$Q$4*$Q$5*$Q$6</f>
        <v>0</v>
      </c>
      <c r="R22" s="125">
        <f>TPDA!J21*$Q$4*$Q$5*$R$6</f>
        <v>0</v>
      </c>
      <c r="S22" s="125">
        <f>TPDA!K21*$S$4*$S$5*$S$6</f>
        <v>0</v>
      </c>
      <c r="T22" s="125">
        <f>TPDA!K21*$S$4*$S$5*$T$6</f>
        <v>0</v>
      </c>
      <c r="U22" s="125">
        <f>TPDA!L21*$U$4*$U$5*$U$6</f>
        <v>0</v>
      </c>
      <c r="V22" s="125">
        <f>TPDA!L21*$U$4*$U$5*$V$6</f>
        <v>0</v>
      </c>
      <c r="W22" s="125">
        <f>TPDA!M21*$W$4*$W$5*$W$6</f>
        <v>0</v>
      </c>
      <c r="X22" s="125">
        <f>TPDA!M21*$W$4*$W$5*$X$6</f>
        <v>0</v>
      </c>
      <c r="Y22" s="125">
        <f>TPDA!N21*$Y$4*$Y$5*$Y$6</f>
        <v>0</v>
      </c>
      <c r="Z22" s="125">
        <f>TPDA!N21*$Y$4*$Y$5*$Z$6</f>
        <v>0</v>
      </c>
      <c r="AA22" s="126">
        <f t="shared" si="2"/>
        <v>0</v>
      </c>
      <c r="AB22" s="106">
        <f t="shared" si="0"/>
        <v>0</v>
      </c>
    </row>
    <row r="23" spans="1:38" x14ac:dyDescent="0.25">
      <c r="A23" s="123">
        <f t="shared" si="1"/>
        <v>2036</v>
      </c>
      <c r="B23" s="130"/>
      <c r="C23" s="125">
        <f>TPDA!C22*'EE1'!$C$4:$D$4*'EE1'!$C$5:$D$5*$C$6</f>
        <v>0</v>
      </c>
      <c r="D23" s="125">
        <f>TPDA!C22*'EE1'!$C$4*'EE1'!$C$5*$D$6</f>
        <v>0</v>
      </c>
      <c r="E23" s="125">
        <f>TPDA!D22*$E$4*$E$5*$E$6</f>
        <v>0</v>
      </c>
      <c r="F23" s="125">
        <f>TPDA!D22*$E$5*$E$5*$F$6</f>
        <v>0</v>
      </c>
      <c r="G23" s="125">
        <f>TPDA!E22*$G$4*$G$5*$G$6</f>
        <v>0</v>
      </c>
      <c r="H23" s="125">
        <f>TPDA!E22*$G$4*$G$5*$H$6</f>
        <v>0</v>
      </c>
      <c r="I23" s="125">
        <f>(POWER((0.2*5.5)/8.17,4.32))*TPDA!F22</f>
        <v>0</v>
      </c>
      <c r="J23" s="125">
        <f>TPDA!F22*$I$4*$I$5*$J$6</f>
        <v>0</v>
      </c>
      <c r="K23" s="125">
        <f>TPDA!G22*$K$4*$K$5*$K$6</f>
        <v>0</v>
      </c>
      <c r="L23" s="125">
        <f>TPDA!G22*$K$4*$K$5*$L$6</f>
        <v>0</v>
      </c>
      <c r="M23" s="125">
        <f>TPDA!H22*$M$4*$M$5*$M$6</f>
        <v>0</v>
      </c>
      <c r="N23" s="125">
        <f>TPDA!H22*$M$4*$M$5*$N$6</f>
        <v>0</v>
      </c>
      <c r="O23" s="125">
        <f>TPDA!I22*$O$4*$O$5*$O$6</f>
        <v>0</v>
      </c>
      <c r="P23" s="125">
        <f>TPDA!I22*$O$4*$O$5*$P$6</f>
        <v>0</v>
      </c>
      <c r="Q23" s="125">
        <f>TPDA!J22*$Q$4*$Q$5*$Q$6</f>
        <v>0</v>
      </c>
      <c r="R23" s="125">
        <f>TPDA!J22*$Q$4*$Q$5*$R$6</f>
        <v>0</v>
      </c>
      <c r="S23" s="125">
        <f>TPDA!K22*$S$4*$S$5*$S$6</f>
        <v>0</v>
      </c>
      <c r="T23" s="125">
        <f>TPDA!K22*$S$4*$S$5*$T$6</f>
        <v>0</v>
      </c>
      <c r="U23" s="125">
        <f>TPDA!L22*$U$4*$U$5*$U$6</f>
        <v>0</v>
      </c>
      <c r="V23" s="125">
        <f>TPDA!L22*$U$4*$U$5*$V$6</f>
        <v>0</v>
      </c>
      <c r="W23" s="125">
        <f>TPDA!M22*$W$4*$W$5*$W$6</f>
        <v>0</v>
      </c>
      <c r="X23" s="125">
        <f>TPDA!M22*$W$4*$W$5*$X$6</f>
        <v>0</v>
      </c>
      <c r="Y23" s="125">
        <f>TPDA!N22*$Y$4*$Y$5*$Y$6</f>
        <v>0</v>
      </c>
      <c r="Z23" s="125">
        <f>TPDA!N22*$Y$4*$Y$5*$Z$6</f>
        <v>0</v>
      </c>
      <c r="AA23" s="126">
        <f t="shared" si="2"/>
        <v>0</v>
      </c>
      <c r="AB23" s="106">
        <f t="shared" si="0"/>
        <v>0</v>
      </c>
    </row>
    <row r="24" spans="1:38" x14ac:dyDescent="0.25">
      <c r="A24" s="123">
        <f t="shared" si="1"/>
        <v>2037</v>
      </c>
      <c r="B24" s="130"/>
      <c r="C24" s="125">
        <f>TPDA!C23*'EE1'!$C$4:$D$4*'EE1'!$C$5:$D$5*$C$6</f>
        <v>0</v>
      </c>
      <c r="D24" s="125">
        <f>TPDA!C23*'EE1'!$C$4*'EE1'!$C$5*$D$6</f>
        <v>0</v>
      </c>
      <c r="E24" s="125">
        <f>TPDA!D23*$E$4*$E$5*$E$6</f>
        <v>0</v>
      </c>
      <c r="F24" s="125">
        <f>TPDA!D23*$E$5*$E$5*$F$6</f>
        <v>0</v>
      </c>
      <c r="G24" s="125">
        <f>TPDA!E23*$G$4*$G$5*$G$6</f>
        <v>0</v>
      </c>
      <c r="H24" s="125">
        <f>TPDA!E23*$G$4*$G$5*$H$6</f>
        <v>0</v>
      </c>
      <c r="I24" s="125">
        <f>(POWER((0.2*5.5)/8.17,4.32))*TPDA!F23</f>
        <v>0</v>
      </c>
      <c r="J24" s="125">
        <f>TPDA!F23*$I$4*$I$5*$J$6</f>
        <v>0</v>
      </c>
      <c r="K24" s="125">
        <f>TPDA!G23*$K$4*$K$5*$K$6</f>
        <v>0</v>
      </c>
      <c r="L24" s="125">
        <f>TPDA!G23*$K$4*$K$5*$L$6</f>
        <v>0</v>
      </c>
      <c r="M24" s="125">
        <f>TPDA!H23*$M$4*$M$5*$M$6</f>
        <v>0</v>
      </c>
      <c r="N24" s="125">
        <f>TPDA!H23*$M$4*$M$5*$N$6</f>
        <v>0</v>
      </c>
      <c r="O24" s="125">
        <f>TPDA!I23*$O$4*$O$5*$O$6</f>
        <v>0</v>
      </c>
      <c r="P24" s="125">
        <f>TPDA!I23*$O$4*$O$5*$P$6</f>
        <v>0</v>
      </c>
      <c r="Q24" s="125">
        <f>TPDA!J23*$Q$4*$Q$5*$Q$6</f>
        <v>0</v>
      </c>
      <c r="R24" s="125">
        <f>TPDA!J23*$Q$4*$Q$5*$R$6</f>
        <v>0</v>
      </c>
      <c r="S24" s="125">
        <f>TPDA!K23*$S$4*$S$5*$S$6</f>
        <v>0</v>
      </c>
      <c r="T24" s="125">
        <f>TPDA!K23*$S$4*$S$5*$T$6</f>
        <v>0</v>
      </c>
      <c r="U24" s="125">
        <f>TPDA!L23*$U$4*$U$5*$U$6</f>
        <v>0</v>
      </c>
      <c r="V24" s="125">
        <f>TPDA!L23*$U$4*$U$5*$V$6</f>
        <v>0</v>
      </c>
      <c r="W24" s="125">
        <f>TPDA!M23*$W$4*$W$5*$W$6</f>
        <v>0</v>
      </c>
      <c r="X24" s="125">
        <f>TPDA!M23*$W$4*$W$5*$X$6</f>
        <v>0</v>
      </c>
      <c r="Y24" s="125">
        <f>TPDA!N23*$Y$4*$Y$5*$Y$6</f>
        <v>0</v>
      </c>
      <c r="Z24" s="125">
        <f>TPDA!N23*$Y$4*$Y$5*$Z$6</f>
        <v>0</v>
      </c>
      <c r="AA24" s="126">
        <f t="shared" si="2"/>
        <v>0</v>
      </c>
      <c r="AB24" s="106">
        <f t="shared" si="0"/>
        <v>0</v>
      </c>
    </row>
    <row r="25" spans="1:38" x14ac:dyDescent="0.25">
      <c r="A25" s="123">
        <f t="shared" si="1"/>
        <v>2038</v>
      </c>
      <c r="B25" s="130"/>
      <c r="C25" s="125">
        <f>TPDA!C24*'EE1'!$C$4:$D$4*'EE1'!$C$5:$D$5*$C$6</f>
        <v>0</v>
      </c>
      <c r="D25" s="125">
        <f>TPDA!C24*'EE1'!$C$4*'EE1'!$C$5*$D$6</f>
        <v>0</v>
      </c>
      <c r="E25" s="125">
        <f>TPDA!D24*$E$4*$E$5*$E$6</f>
        <v>0</v>
      </c>
      <c r="F25" s="125">
        <f>TPDA!D24*$E$5*$E$5*$F$6</f>
        <v>0</v>
      </c>
      <c r="G25" s="125">
        <f>TPDA!E24*$G$4*$G$5*$G$6</f>
        <v>0</v>
      </c>
      <c r="H25" s="125">
        <f>TPDA!E24*$G$4*$G$5*$H$6</f>
        <v>0</v>
      </c>
      <c r="I25" s="125">
        <f>(POWER((0.2*5.5)/8.17,4.32))*TPDA!F24</f>
        <v>0</v>
      </c>
      <c r="J25" s="125">
        <f>TPDA!F24*$I$4*$I$5*$J$6</f>
        <v>0</v>
      </c>
      <c r="K25" s="125">
        <f>TPDA!G24*$K$4*$K$5*$K$6</f>
        <v>0</v>
      </c>
      <c r="L25" s="125">
        <f>TPDA!G24*$K$4*$K$5*$L$6</f>
        <v>0</v>
      </c>
      <c r="M25" s="125">
        <f>TPDA!H24*$M$4*$M$5*$M$6</f>
        <v>0</v>
      </c>
      <c r="N25" s="125">
        <f>TPDA!H24*$M$4*$M$5*$N$6</f>
        <v>0</v>
      </c>
      <c r="O25" s="125">
        <f>TPDA!I24*$O$4*$O$5*$O$6</f>
        <v>0</v>
      </c>
      <c r="P25" s="125">
        <f>TPDA!I24*$O$4*$O$5*$P$6</f>
        <v>0</v>
      </c>
      <c r="Q25" s="125">
        <f>TPDA!J24*$Q$4*$Q$5*$Q$6</f>
        <v>0</v>
      </c>
      <c r="R25" s="125">
        <f>TPDA!J24*$Q$4*$Q$5*$R$6</f>
        <v>0</v>
      </c>
      <c r="S25" s="125">
        <f>TPDA!K24*$S$4*$S$5*$S$6</f>
        <v>0</v>
      </c>
      <c r="T25" s="125">
        <f>TPDA!K24*$S$4*$S$5*$T$6</f>
        <v>0</v>
      </c>
      <c r="U25" s="125">
        <f>TPDA!L24*$U$4*$U$5*$U$6</f>
        <v>0</v>
      </c>
      <c r="V25" s="125">
        <f>TPDA!L24*$U$4*$U$5*$V$6</f>
        <v>0</v>
      </c>
      <c r="W25" s="125">
        <f>TPDA!M24*$W$4*$W$5*$W$6</f>
        <v>0</v>
      </c>
      <c r="X25" s="125">
        <f>TPDA!M24*$W$4*$W$5*$X$6</f>
        <v>0</v>
      </c>
      <c r="Y25" s="125">
        <f>TPDA!N24*$Y$4*$Y$5*$Y$6</f>
        <v>0</v>
      </c>
      <c r="Z25" s="125">
        <f>TPDA!N24*$Y$4*$Y$5*$Z$6</f>
        <v>0</v>
      </c>
      <c r="AA25" s="126">
        <f t="shared" si="2"/>
        <v>0</v>
      </c>
      <c r="AB25" s="106">
        <f t="shared" si="0"/>
        <v>0</v>
      </c>
    </row>
    <row r="26" spans="1:38" x14ac:dyDescent="0.25">
      <c r="A26" s="123">
        <f t="shared" si="1"/>
        <v>2039</v>
      </c>
      <c r="B26" s="130"/>
      <c r="C26" s="125">
        <f>TPDA!C25*'EE1'!$C$4:$D$4*'EE1'!$C$5:$D$5*$C$6</f>
        <v>0</v>
      </c>
      <c r="D26" s="125">
        <f>TPDA!C25*'EE1'!$C$4*'EE1'!$C$5*$D$6</f>
        <v>0</v>
      </c>
      <c r="E26" s="125">
        <f>TPDA!D25*$E$4*$E$5*$E$6</f>
        <v>0</v>
      </c>
      <c r="F26" s="125">
        <f>TPDA!D25*$E$5*$E$5*$F$6</f>
        <v>0</v>
      </c>
      <c r="G26" s="125">
        <f>TPDA!E25*$G$4*$G$5*$G$6</f>
        <v>0</v>
      </c>
      <c r="H26" s="125">
        <f>TPDA!E25*$G$4*$G$5*$H$6</f>
        <v>0</v>
      </c>
      <c r="I26" s="125">
        <f>(POWER((0.2*5.5)/8.17,4.32))*TPDA!F25</f>
        <v>0</v>
      </c>
      <c r="J26" s="125">
        <f>TPDA!F25*$I$4*$I$5*$J$6</f>
        <v>0</v>
      </c>
      <c r="K26" s="125">
        <f>TPDA!G25*$K$4*$K$5*$K$6</f>
        <v>0</v>
      </c>
      <c r="L26" s="125">
        <f>TPDA!G25*$K$4*$K$5*$L$6</f>
        <v>0</v>
      </c>
      <c r="M26" s="125">
        <f>TPDA!H25*$M$4*$M$5*$M$6</f>
        <v>0</v>
      </c>
      <c r="N26" s="125">
        <f>TPDA!H25*$M$4*$M$5*$N$6</f>
        <v>0</v>
      </c>
      <c r="O26" s="125">
        <f>TPDA!I25*$O$4*$O$5*$O$6</f>
        <v>0</v>
      </c>
      <c r="P26" s="125">
        <f>TPDA!I25*$O$4*$O$5*$P$6</f>
        <v>0</v>
      </c>
      <c r="Q26" s="125">
        <f>TPDA!J25*$Q$4*$Q$5*$Q$6</f>
        <v>0</v>
      </c>
      <c r="R26" s="125">
        <f>TPDA!J25*$Q$4*$Q$5*$R$6</f>
        <v>0</v>
      </c>
      <c r="S26" s="125">
        <f>TPDA!K25*$S$4*$S$5*$S$6</f>
        <v>0</v>
      </c>
      <c r="T26" s="125">
        <f>TPDA!K25*$S$4*$S$5*$T$6</f>
        <v>0</v>
      </c>
      <c r="U26" s="125">
        <f>TPDA!L25*$U$4*$U$5*$U$6</f>
        <v>0</v>
      </c>
      <c r="V26" s="125">
        <f>TPDA!L25*$U$4*$U$5*$V$6</f>
        <v>0</v>
      </c>
      <c r="W26" s="125">
        <f>TPDA!M25*$W$4*$W$5*$W$6</f>
        <v>0</v>
      </c>
      <c r="X26" s="125">
        <f>TPDA!M25*$W$4*$W$5*$X$6</f>
        <v>0</v>
      </c>
      <c r="Y26" s="125">
        <f>TPDA!N25*$Y$4*$Y$5*$Y$6</f>
        <v>0</v>
      </c>
      <c r="Z26" s="125">
        <f>TPDA!N25*$Y$4*$Y$5*$Z$6</f>
        <v>0</v>
      </c>
      <c r="AA26" s="126">
        <f t="shared" si="2"/>
        <v>0</v>
      </c>
      <c r="AB26" s="106">
        <f t="shared" si="0"/>
        <v>0</v>
      </c>
    </row>
    <row r="27" spans="1:38" ht="15.75" customHeight="1" x14ac:dyDescent="0.25">
      <c r="A27" s="123">
        <f t="shared" si="1"/>
        <v>2040</v>
      </c>
      <c r="B27" s="130"/>
      <c r="C27" s="125">
        <f>TPDA!C26*'EE1'!$C$4:$D$4*'EE1'!$C$5:$D$5*$C$6</f>
        <v>0</v>
      </c>
      <c r="D27" s="125">
        <f>TPDA!C26*'EE1'!$C$4*'EE1'!$C$5*$D$6</f>
        <v>0</v>
      </c>
      <c r="E27" s="125">
        <f>TPDA!D26*$E$4*$E$5*$E$6</f>
        <v>0</v>
      </c>
      <c r="F27" s="125">
        <f>TPDA!D26*$E$5*$E$5*$F$6</f>
        <v>0</v>
      </c>
      <c r="G27" s="125">
        <f>TPDA!E26*$G$4*$G$5*$G$6</f>
        <v>0</v>
      </c>
      <c r="H27" s="125">
        <f>TPDA!E26*$G$4*$G$5*$H$6</f>
        <v>0</v>
      </c>
      <c r="I27" s="125">
        <f>(POWER((0.2*5.5)/8.17,4.32))*TPDA!F26</f>
        <v>0</v>
      </c>
      <c r="J27" s="125">
        <f>TPDA!F26*$I$4*$I$5*$J$6</f>
        <v>0</v>
      </c>
      <c r="K27" s="125">
        <f>TPDA!G26*$K$4*$K$5*$K$6</f>
        <v>0</v>
      </c>
      <c r="L27" s="125">
        <f>TPDA!G26*$K$4*$K$5*$L$6</f>
        <v>0</v>
      </c>
      <c r="M27" s="125">
        <f>TPDA!H26*$M$4*$M$5*$M$6</f>
        <v>0</v>
      </c>
      <c r="N27" s="125">
        <f>TPDA!H26*$M$4*$M$5*$N$6</f>
        <v>0</v>
      </c>
      <c r="O27" s="125">
        <f>TPDA!I26*$O$4*$O$5*$O$6</f>
        <v>0</v>
      </c>
      <c r="P27" s="125">
        <f>TPDA!I26*$O$4*$O$5*$P$6</f>
        <v>0</v>
      </c>
      <c r="Q27" s="125">
        <f>TPDA!J26*$Q$4*$Q$5*$Q$6</f>
        <v>0</v>
      </c>
      <c r="R27" s="125">
        <f>TPDA!J26*$Q$4*$Q$5*$R$6</f>
        <v>0</v>
      </c>
      <c r="S27" s="125">
        <f>TPDA!K26*$S$4*$S$5*$S$6</f>
        <v>0</v>
      </c>
      <c r="T27" s="125">
        <f>TPDA!K26*$S$4*$S$5*$T$6</f>
        <v>0</v>
      </c>
      <c r="U27" s="125">
        <f>TPDA!L26*$U$4*$U$5*$U$6</f>
        <v>0</v>
      </c>
      <c r="V27" s="125">
        <f>TPDA!L26*$U$4*$U$5*$V$6</f>
        <v>0</v>
      </c>
      <c r="W27" s="125">
        <f>TPDA!M26*$W$4*$W$5*$W$6</f>
        <v>0</v>
      </c>
      <c r="X27" s="125">
        <f>TPDA!M26*$W$4*$W$5*$X$6</f>
        <v>0</v>
      </c>
      <c r="Y27" s="125">
        <f>TPDA!N26*$Y$4*$Y$5*$Y$6</f>
        <v>0</v>
      </c>
      <c r="Z27" s="125">
        <f>TPDA!N26*$Y$4*$Y$5*$Z$6</f>
        <v>0</v>
      </c>
      <c r="AA27" s="126">
        <f t="shared" si="2"/>
        <v>0</v>
      </c>
      <c r="AB27" s="106">
        <f t="shared" si="0"/>
        <v>0</v>
      </c>
    </row>
    <row r="28" spans="1:38" x14ac:dyDescent="0.25">
      <c r="A28" s="123">
        <f t="shared" si="1"/>
        <v>2041</v>
      </c>
      <c r="B28" s="130"/>
      <c r="C28" s="125">
        <f>TPDA!C27*'EE1'!$C$4:$D$4*'EE1'!$C$5:$D$5*$C$6</f>
        <v>0</v>
      </c>
      <c r="D28" s="125">
        <f>TPDA!C27*'EE1'!$C$4*'EE1'!$C$5*$D$6</f>
        <v>0</v>
      </c>
      <c r="E28" s="125">
        <f>TPDA!D27*$E$4*$E$5*$E$6</f>
        <v>0</v>
      </c>
      <c r="F28" s="125">
        <f>TPDA!D27*$E$5*$E$5*$F$6</f>
        <v>0</v>
      </c>
      <c r="G28" s="125">
        <f>TPDA!E27*$G$4*$G$5*$G$6</f>
        <v>0</v>
      </c>
      <c r="H28" s="125">
        <f>TPDA!E27*$G$4*$G$5*$H$6</f>
        <v>0</v>
      </c>
      <c r="I28" s="125">
        <f>(POWER((0.2*5.5)/8.17,4.32))*TPDA!F27</f>
        <v>0</v>
      </c>
      <c r="J28" s="125">
        <f>TPDA!F27*$I$4*$I$5*$J$6</f>
        <v>0</v>
      </c>
      <c r="K28" s="125">
        <f>TPDA!G27*$K$4*$K$5*$K$6</f>
        <v>0</v>
      </c>
      <c r="L28" s="125">
        <f>TPDA!G27*$K$4*$K$5*$L$6</f>
        <v>0</v>
      </c>
      <c r="M28" s="125">
        <f>TPDA!H27*$M$4*$M$5*$M$6</f>
        <v>0</v>
      </c>
      <c r="N28" s="125">
        <f>TPDA!H27*$M$4*$M$5*$N$6</f>
        <v>0</v>
      </c>
      <c r="O28" s="125">
        <f>TPDA!I27*$O$4*$O$5*$O$6</f>
        <v>0</v>
      </c>
      <c r="P28" s="125">
        <f>TPDA!I27*$O$4*$O$5*$P$6</f>
        <v>0</v>
      </c>
      <c r="Q28" s="125">
        <f>TPDA!J27*$Q$4*$Q$5*$Q$6</f>
        <v>0</v>
      </c>
      <c r="R28" s="125">
        <f>TPDA!J27*$Q$4*$Q$5*$R$6</f>
        <v>0</v>
      </c>
      <c r="S28" s="125">
        <f>TPDA!K27*$S$4*$S$5*$S$6</f>
        <v>0</v>
      </c>
      <c r="T28" s="125">
        <f>TPDA!K27*$S$4*$S$5*$T$6</f>
        <v>0</v>
      </c>
      <c r="U28" s="125">
        <f>TPDA!L27*$U$4*$U$5*$U$6</f>
        <v>0</v>
      </c>
      <c r="V28" s="125">
        <f>TPDA!L27*$U$4*$U$5*$V$6</f>
        <v>0</v>
      </c>
      <c r="W28" s="125">
        <f>TPDA!M27*$W$4*$W$5*$W$6</f>
        <v>0</v>
      </c>
      <c r="X28" s="125">
        <f>TPDA!M27*$W$4*$W$5*$X$6</f>
        <v>0</v>
      </c>
      <c r="Y28" s="125">
        <f>TPDA!N27*$Y$4*$Y$5*$Y$6</f>
        <v>0</v>
      </c>
      <c r="Z28" s="125">
        <f>TPDA!N27*$Y$4*$Y$5*$Z$6</f>
        <v>0</v>
      </c>
      <c r="AA28" s="126">
        <f t="shared" si="2"/>
        <v>0</v>
      </c>
      <c r="AB28" s="106">
        <f t="shared" si="0"/>
        <v>0</v>
      </c>
    </row>
    <row r="29" spans="1:38" x14ac:dyDescent="0.25">
      <c r="A29" s="123">
        <f t="shared" si="1"/>
        <v>2042</v>
      </c>
      <c r="B29" s="130"/>
      <c r="C29" s="125">
        <f>TPDA!C28*'EE1'!$C$4:$D$4*'EE1'!$C$5:$D$5*$C$6</f>
        <v>0</v>
      </c>
      <c r="D29" s="125">
        <f>TPDA!C28*'EE1'!$C$4*'EE1'!$C$5*$D$6</f>
        <v>0</v>
      </c>
      <c r="E29" s="125">
        <f>TPDA!D28*$E$4*$E$5*$E$6</f>
        <v>0</v>
      </c>
      <c r="F29" s="125">
        <f>TPDA!D28*$E$5*$E$5*$F$6</f>
        <v>0</v>
      </c>
      <c r="G29" s="125">
        <f>TPDA!E28*$G$4*$G$5*$G$6</f>
        <v>0</v>
      </c>
      <c r="H29" s="125">
        <f>TPDA!E28*$G$4*$G$5*$H$6</f>
        <v>0</v>
      </c>
      <c r="I29" s="125">
        <f>(POWER((0.2*5.5)/8.17,4.32))*TPDA!F28</f>
        <v>0</v>
      </c>
      <c r="J29" s="125">
        <f>TPDA!F28*$I$4*$I$5*$J$6</f>
        <v>0</v>
      </c>
      <c r="K29" s="125">
        <f>TPDA!G28*$K$4*$K$5*$K$6</f>
        <v>0</v>
      </c>
      <c r="L29" s="125">
        <f>TPDA!G28*$K$4*$K$5*$L$6</f>
        <v>0</v>
      </c>
      <c r="M29" s="125">
        <f>TPDA!H28*$M$4*$M$5*$M$6</f>
        <v>0</v>
      </c>
      <c r="N29" s="125">
        <f>TPDA!H28*$M$4*$M$5*$N$6</f>
        <v>0</v>
      </c>
      <c r="O29" s="125">
        <f>TPDA!I28*$O$4*$O$5*$O$6</f>
        <v>0</v>
      </c>
      <c r="P29" s="125">
        <f>TPDA!I28*$O$4*$O$5*$P$6</f>
        <v>0</v>
      </c>
      <c r="Q29" s="125">
        <f>TPDA!J28*$Q$4*$Q$5*$Q$6</f>
        <v>0</v>
      </c>
      <c r="R29" s="125">
        <f>TPDA!J28*$Q$4*$Q$5*$R$6</f>
        <v>0</v>
      </c>
      <c r="S29" s="125">
        <f>TPDA!K28*$S$4*$S$5*$S$6</f>
        <v>0</v>
      </c>
      <c r="T29" s="125">
        <f>TPDA!K28*$S$4*$S$5*$T$6</f>
        <v>0</v>
      </c>
      <c r="U29" s="125">
        <f>TPDA!L28*$U$4*$U$5*$U$6</f>
        <v>0</v>
      </c>
      <c r="V29" s="125">
        <f>TPDA!L28*$U$4*$U$5*$V$6</f>
        <v>0</v>
      </c>
      <c r="W29" s="125">
        <f>TPDA!M28*$W$4*$W$5*$W$6</f>
        <v>0</v>
      </c>
      <c r="X29" s="125">
        <f>TPDA!M28*$W$4*$W$5*$X$6</f>
        <v>0</v>
      </c>
      <c r="Y29" s="125">
        <f>TPDA!N28*$Y$4*$Y$5*$Y$6</f>
        <v>0</v>
      </c>
      <c r="Z29" s="125">
        <f>TPDA!N28*$Y$4*$Y$5*$Z$6</f>
        <v>0</v>
      </c>
      <c r="AA29" s="126">
        <f t="shared" si="2"/>
        <v>0</v>
      </c>
      <c r="AB29" s="106">
        <f t="shared" si="0"/>
        <v>0</v>
      </c>
    </row>
    <row r="30" spans="1:38" x14ac:dyDescent="0.25">
      <c r="A30" s="123">
        <f t="shared" si="1"/>
        <v>2043</v>
      </c>
      <c r="B30" s="130"/>
      <c r="C30" s="125">
        <f>TPDA!C29*'EE1'!$C$4:$D$4*'EE1'!$C$5:$D$5*$C$6</f>
        <v>0</v>
      </c>
      <c r="D30" s="125">
        <f>TPDA!C29*'EE1'!$C$4*'EE1'!$C$5*$D$6</f>
        <v>0</v>
      </c>
      <c r="E30" s="125">
        <f>TPDA!D29*$E$4*$E$5*$E$6</f>
        <v>0</v>
      </c>
      <c r="F30" s="125">
        <f>TPDA!D29*$E$5*$E$5*$F$6</f>
        <v>0</v>
      </c>
      <c r="G30" s="125">
        <f>TPDA!E29*$G$4*$G$5*$G$6</f>
        <v>0</v>
      </c>
      <c r="H30" s="125">
        <f>TPDA!E29*$G$4*$G$5*$H$6</f>
        <v>0</v>
      </c>
      <c r="I30" s="125">
        <f>(POWER((0.2*5.5)/8.17,4.32))*TPDA!F29</f>
        <v>0</v>
      </c>
      <c r="J30" s="125">
        <f>TPDA!F29*$I$4*$I$5*$J$6</f>
        <v>0</v>
      </c>
      <c r="K30" s="125">
        <f>TPDA!G29*$K$4*$K$5*$K$6</f>
        <v>0</v>
      </c>
      <c r="L30" s="125">
        <f>TPDA!G29*$K$4*$K$5*$L$6</f>
        <v>0</v>
      </c>
      <c r="M30" s="125">
        <f>TPDA!H29*$M$4*$M$5*$M$6</f>
        <v>0</v>
      </c>
      <c r="N30" s="125">
        <f>TPDA!H29*$M$4*$M$5*$N$6</f>
        <v>0</v>
      </c>
      <c r="O30" s="125">
        <f>TPDA!I29*$O$4*$O$5*$O$6</f>
        <v>0</v>
      </c>
      <c r="P30" s="125">
        <f>TPDA!I29*$O$4*$O$5*$P$6</f>
        <v>0</v>
      </c>
      <c r="Q30" s="125">
        <f>TPDA!J29*$Q$4*$Q$5*$Q$6</f>
        <v>0</v>
      </c>
      <c r="R30" s="125">
        <f>TPDA!J29*$Q$4*$Q$5*$R$6</f>
        <v>0</v>
      </c>
      <c r="S30" s="125">
        <f>TPDA!K29*$S$4*$S$5*$S$6</f>
        <v>0</v>
      </c>
      <c r="T30" s="125">
        <f>TPDA!K29*$S$4*$S$5*$T$6</f>
        <v>0</v>
      </c>
      <c r="U30" s="125">
        <f>TPDA!L29*$U$4*$U$5*$U$6</f>
        <v>0</v>
      </c>
      <c r="V30" s="125">
        <f>TPDA!L29*$U$4*$U$5*$V$6</f>
        <v>0</v>
      </c>
      <c r="W30" s="125">
        <f>TPDA!M29*$W$4*$W$5*$W$6</f>
        <v>0</v>
      </c>
      <c r="X30" s="125">
        <f>TPDA!M29*$W$4*$W$5*$X$6</f>
        <v>0</v>
      </c>
      <c r="Y30" s="125">
        <f>TPDA!N29*$Y$4*$Y$5*$Y$6</f>
        <v>0</v>
      </c>
      <c r="Z30" s="125">
        <f>TPDA!N29*$Y$4*$Y$5*$Z$6</f>
        <v>0</v>
      </c>
      <c r="AA30" s="126">
        <f t="shared" si="2"/>
        <v>0</v>
      </c>
      <c r="AB30" s="106">
        <f t="shared" si="0"/>
        <v>0</v>
      </c>
    </row>
    <row r="31" spans="1:38" x14ac:dyDescent="0.25">
      <c r="A31" s="123">
        <f t="shared" si="1"/>
        <v>2044</v>
      </c>
      <c r="B31" s="133"/>
      <c r="C31" s="125">
        <f>TPDA!C30*'EE1'!$C$4:$D$4*'EE1'!$C$5:$D$5*$C$6</f>
        <v>0</v>
      </c>
      <c r="D31" s="125">
        <f>TPDA!C30*'EE1'!$C$4*'EE1'!$C$5*$D$6</f>
        <v>0</v>
      </c>
      <c r="E31" s="125">
        <f>TPDA!D30*$E$4*$E$5*$E$6</f>
        <v>0</v>
      </c>
      <c r="F31" s="125">
        <f>TPDA!D30*$E$5*$E$5*$F$6</f>
        <v>0</v>
      </c>
      <c r="G31" s="125">
        <f>TPDA!E30*$G$4*$G$5*$G$6</f>
        <v>0</v>
      </c>
      <c r="H31" s="125">
        <f>TPDA!E30*$G$4*$G$5*$H$6</f>
        <v>0</v>
      </c>
      <c r="I31" s="125">
        <f>(POWER((0.2*5.5)/8.17,4.32))*TPDA!F30</f>
        <v>0</v>
      </c>
      <c r="J31" s="125">
        <f>TPDA!F30*$I$4*$I$5*$J$6</f>
        <v>0</v>
      </c>
      <c r="K31" s="125">
        <f>TPDA!G30*$K$4*$K$5*$K$6</f>
        <v>0</v>
      </c>
      <c r="L31" s="125">
        <f>TPDA!G30*$K$4*$K$5*$L$6</f>
        <v>0</v>
      </c>
      <c r="M31" s="125">
        <f>TPDA!H30*$M$4*$M$5*$M$6</f>
        <v>0</v>
      </c>
      <c r="N31" s="125">
        <f>TPDA!H30*$M$4*$M$5*$N$6</f>
        <v>0</v>
      </c>
      <c r="O31" s="125">
        <f>TPDA!I30*$O$4*$O$5*$O$6</f>
        <v>0</v>
      </c>
      <c r="P31" s="125">
        <f>TPDA!I30*$O$4*$O$5*$P$6</f>
        <v>0</v>
      </c>
      <c r="Q31" s="125">
        <f>TPDA!J30*$Q$4*$Q$5*$Q$6</f>
        <v>0</v>
      </c>
      <c r="R31" s="125">
        <f>TPDA!J30*$Q$4*$Q$5*$R$6</f>
        <v>0</v>
      </c>
      <c r="S31" s="125">
        <f>TPDA!K30*$S$4*$S$5*$S$6</f>
        <v>0</v>
      </c>
      <c r="T31" s="125">
        <f>TPDA!K30*$S$4*$S$5*$T$6</f>
        <v>0</v>
      </c>
      <c r="U31" s="125">
        <f>TPDA!L30*$U$4*$U$5*$U$6</f>
        <v>0</v>
      </c>
      <c r="V31" s="125">
        <f>TPDA!L30*$U$4*$U$5*$V$6</f>
        <v>0</v>
      </c>
      <c r="W31" s="125">
        <f>TPDA!M30*$W$4*$W$5*$W$6</f>
        <v>0</v>
      </c>
      <c r="X31" s="125">
        <f>TPDA!M30*$W$4*$W$5*$X$6</f>
        <v>0</v>
      </c>
      <c r="Y31" s="125">
        <f>TPDA!N30*$Y$4*$Y$5*$Y$6</f>
        <v>0</v>
      </c>
      <c r="Z31" s="125">
        <f>TPDA!N30*$Y$4*$Y$5*$Z$6</f>
        <v>0</v>
      </c>
      <c r="AA31" s="126">
        <f t="shared" si="2"/>
        <v>0</v>
      </c>
      <c r="AB31" s="106">
        <f t="shared" si="0"/>
        <v>0</v>
      </c>
    </row>
    <row r="32" spans="1:38" ht="17.25" x14ac:dyDescent="0.25">
      <c r="A32" s="134"/>
      <c r="B32" s="135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7"/>
      <c r="AB32" s="138" t="s">
        <v>140</v>
      </c>
    </row>
    <row r="33" spans="1:27" x14ac:dyDescent="0.25">
      <c r="A33" s="134"/>
      <c r="B33" s="135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7"/>
    </row>
    <row r="34" spans="1:27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</row>
    <row r="35" spans="1:27" x14ac:dyDescent="0.2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</row>
    <row r="36" spans="1:27" x14ac:dyDescent="0.25">
      <c r="A36" s="140" t="s">
        <v>121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</row>
    <row r="37" spans="1:27" x14ac:dyDescent="0.25">
      <c r="A37" s="141" t="s">
        <v>122</v>
      </c>
      <c r="B37" s="142"/>
      <c r="C37" s="142"/>
      <c r="D37" s="142"/>
      <c r="E37" s="142"/>
      <c r="F37" s="142"/>
      <c r="G37" s="141" t="s">
        <v>123</v>
      </c>
      <c r="H37" s="141"/>
      <c r="I37" s="142"/>
      <c r="J37" s="142"/>
      <c r="K37" s="142"/>
      <c r="L37" s="142"/>
      <c r="M37" s="142"/>
      <c r="N37" s="142"/>
      <c r="O37" s="142"/>
      <c r="P37" s="142"/>
      <c r="Q37" s="141" t="s">
        <v>139</v>
      </c>
      <c r="R37" s="141"/>
      <c r="S37" s="142"/>
      <c r="T37" s="142"/>
      <c r="U37" s="142"/>
      <c r="V37" s="142"/>
      <c r="W37" s="142"/>
      <c r="X37" s="142"/>
      <c r="Y37" s="142"/>
      <c r="Z37" s="142"/>
      <c r="AA37" s="139"/>
    </row>
    <row r="38" spans="1:27" x14ac:dyDescent="0.25">
      <c r="A38" s="141" t="s">
        <v>125</v>
      </c>
      <c r="B38" s="142"/>
      <c r="C38" s="142"/>
      <c r="D38" s="142"/>
      <c r="E38" s="142"/>
      <c r="F38" s="142"/>
      <c r="G38" s="141" t="s">
        <v>126</v>
      </c>
      <c r="H38" s="141"/>
      <c r="I38" s="142"/>
      <c r="J38" s="142"/>
      <c r="K38" s="142"/>
      <c r="L38" s="142"/>
      <c r="M38" s="142"/>
      <c r="N38" s="142"/>
      <c r="O38" s="142"/>
      <c r="P38" s="142"/>
      <c r="Q38" s="141" t="s">
        <v>127</v>
      </c>
      <c r="R38" s="141"/>
      <c r="S38" s="142"/>
      <c r="T38" s="142"/>
      <c r="U38" s="142"/>
      <c r="V38" s="142"/>
      <c r="W38" s="142"/>
      <c r="X38" s="142"/>
      <c r="Y38" s="142"/>
      <c r="Z38" s="142"/>
      <c r="AA38" s="139"/>
    </row>
    <row r="39" spans="1:27" x14ac:dyDescent="0.25">
      <c r="A39" s="141" t="s">
        <v>128</v>
      </c>
      <c r="B39" s="142"/>
      <c r="C39" s="142"/>
      <c r="D39" s="142"/>
      <c r="E39" s="142"/>
      <c r="F39" s="142"/>
      <c r="G39" s="141" t="s">
        <v>129</v>
      </c>
      <c r="H39" s="141"/>
      <c r="I39" s="142"/>
      <c r="J39" s="142"/>
      <c r="K39" s="142"/>
      <c r="L39" s="142"/>
      <c r="M39" s="142"/>
      <c r="N39" s="142"/>
      <c r="O39" s="142"/>
      <c r="P39" s="142"/>
      <c r="Q39" s="141" t="s">
        <v>130</v>
      </c>
      <c r="R39" s="141"/>
      <c r="S39" s="142"/>
      <c r="T39" s="142"/>
      <c r="U39" s="142"/>
      <c r="V39" s="142"/>
      <c r="W39" s="142"/>
      <c r="X39" s="142"/>
      <c r="Y39" s="142"/>
      <c r="Z39" s="142"/>
      <c r="AA39" s="139"/>
    </row>
    <row r="40" spans="1:27" x14ac:dyDescent="0.25">
      <c r="A40" s="141" t="s">
        <v>131</v>
      </c>
      <c r="B40" s="142"/>
      <c r="C40" s="142"/>
      <c r="D40" s="142"/>
      <c r="E40" s="142"/>
      <c r="F40" s="142"/>
      <c r="G40" s="141" t="s">
        <v>132</v>
      </c>
      <c r="H40" s="141"/>
      <c r="I40" s="142"/>
      <c r="J40" s="142"/>
      <c r="K40" s="142"/>
      <c r="L40" s="142"/>
      <c r="M40" s="142"/>
      <c r="N40" s="142"/>
      <c r="O40" s="142"/>
      <c r="P40" s="142"/>
      <c r="Q40" s="141" t="s">
        <v>133</v>
      </c>
      <c r="R40" s="141"/>
      <c r="S40" s="142"/>
      <c r="T40" s="142"/>
      <c r="U40" s="142"/>
      <c r="V40" s="142"/>
      <c r="W40" s="142"/>
      <c r="X40" s="142"/>
      <c r="Y40" s="142"/>
      <c r="Z40" s="142"/>
      <c r="AA40" s="139"/>
    </row>
  </sheetData>
  <mergeCells count="53">
    <mergeCell ref="B13:B31"/>
    <mergeCell ref="Q5:R5"/>
    <mergeCell ref="S5:T5"/>
    <mergeCell ref="U5:V5"/>
    <mergeCell ref="W5:X5"/>
    <mergeCell ref="Y5:Z5"/>
    <mergeCell ref="B10:B12"/>
    <mergeCell ref="U4:V4"/>
    <mergeCell ref="W4:X4"/>
    <mergeCell ref="Y4:Z4"/>
    <mergeCell ref="C5:D5"/>
    <mergeCell ref="E5:F5"/>
    <mergeCell ref="G5:H5"/>
    <mergeCell ref="I5:J5"/>
    <mergeCell ref="K5:L5"/>
    <mergeCell ref="M5:N5"/>
    <mergeCell ref="O5:P5"/>
    <mergeCell ref="Y3:Z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M3:N3"/>
    <mergeCell ref="O3:P3"/>
    <mergeCell ref="Q3:R3"/>
    <mergeCell ref="S3:T3"/>
    <mergeCell ref="U3:V3"/>
    <mergeCell ref="W3:X3"/>
    <mergeCell ref="Q2:R2"/>
    <mergeCell ref="S2:T2"/>
    <mergeCell ref="U2:V2"/>
    <mergeCell ref="W2:X2"/>
    <mergeCell ref="Y2:Z2"/>
    <mergeCell ref="C3:D3"/>
    <mergeCell ref="E3:F3"/>
    <mergeCell ref="G3:H3"/>
    <mergeCell ref="I3:J3"/>
    <mergeCell ref="K3:L3"/>
    <mergeCell ref="C1:Y1"/>
    <mergeCell ref="AA1:AA5"/>
    <mergeCell ref="A2:A5"/>
    <mergeCell ref="C2:D2"/>
    <mergeCell ref="E2:F2"/>
    <mergeCell ref="G2:H2"/>
    <mergeCell ref="I2:J2"/>
    <mergeCell ref="K2:L2"/>
    <mergeCell ref="M2:N2"/>
    <mergeCell ref="O2:P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CONSOLIDADO</vt:lpstr>
      <vt:lpstr>dia 1</vt:lpstr>
      <vt:lpstr>dia 2</vt:lpstr>
      <vt:lpstr>dia 3</vt:lpstr>
      <vt:lpstr>dia 4</vt:lpstr>
      <vt:lpstr>dia 5</vt:lpstr>
      <vt:lpstr>dia 6</vt:lpstr>
      <vt:lpstr>dia 7</vt:lpstr>
      <vt:lpstr>gráfica</vt:lpstr>
      <vt:lpstr>FHP</vt:lpstr>
      <vt:lpstr>historicos</vt:lpstr>
      <vt:lpstr>factor estacional</vt:lpstr>
      <vt:lpstr>velocidad recorrido</vt:lpstr>
      <vt:lpstr>TPDA</vt:lpstr>
      <vt:lpstr>EE1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Pablo Steverlynck</dc:creator>
  <cp:lastModifiedBy>PFJ</cp:lastModifiedBy>
  <dcterms:created xsi:type="dcterms:W3CDTF">2020-04-09T00:18:08Z</dcterms:created>
  <dcterms:modified xsi:type="dcterms:W3CDTF">2025-12-11T14:50:30Z</dcterms:modified>
</cp:coreProperties>
</file>