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M-2\Desktop\"/>
    </mc:Choice>
  </mc:AlternateContent>
  <xr:revisionPtr revIDLastSave="0" documentId="8_{DE5A7DAD-DEE1-4228-B2F5-237130056FAA}" xr6:coauthVersionLast="47" xr6:coauthVersionMax="47" xr10:uidLastSave="{00000000-0000-0000-0000-000000000000}"/>
  <bookViews>
    <workbookView xWindow="12180" yWindow="2430" windowWidth="9750" windowHeight="9855" firstSheet="7" activeTab="9" xr2:uid="{00000000-000D-0000-FFFF-FFFF00000000}"/>
  </bookViews>
  <sheets>
    <sheet name="CONSOLIDADO" sheetId="2" r:id="rId1"/>
    <sheet name="FACTOR ESTACIONA" sheetId="10" r:id="rId2"/>
    <sheet name="vpth" sheetId="4" r:id="rId3"/>
    <sheet name="PROYECCION" sheetId="5" r:id="rId4"/>
    <sheet name="TPDA (2)" sheetId="7" r:id="rId5"/>
    <sheet name="EE" sheetId="3" r:id="rId6"/>
    <sheet name="TPDA" sheetId="1" r:id="rId7"/>
    <sheet name="EE1" sheetId="6" r:id="rId8"/>
    <sheet name="FHP" sheetId="11" r:id="rId9"/>
    <sheet name="V RECORR" sheetId="1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8" i="3" l="1"/>
  <c r="AA14" i="3"/>
  <c r="AA9" i="3"/>
  <c r="AA4" i="3"/>
  <c r="B3" i="4" l="1"/>
  <c r="C3" i="4"/>
  <c r="D3" i="4"/>
  <c r="E3" i="4"/>
  <c r="F3" i="4"/>
  <c r="G3" i="4"/>
  <c r="H3" i="4"/>
  <c r="I3" i="4"/>
  <c r="J3" i="4"/>
  <c r="K3" i="4"/>
  <c r="L3" i="4"/>
  <c r="M3" i="4"/>
  <c r="N3" i="4"/>
  <c r="B4" i="4"/>
  <c r="C4" i="4"/>
  <c r="D4" i="4"/>
  <c r="E4" i="4"/>
  <c r="F4" i="4"/>
  <c r="G4" i="4"/>
  <c r="H4" i="4"/>
  <c r="I4" i="4"/>
  <c r="J4" i="4"/>
  <c r="K4" i="4"/>
  <c r="L4" i="4"/>
  <c r="M4" i="4"/>
  <c r="N4" i="4"/>
  <c r="B5" i="4"/>
  <c r="C5" i="4"/>
  <c r="D5" i="4"/>
  <c r="E5" i="4"/>
  <c r="F5" i="4"/>
  <c r="G5" i="4"/>
  <c r="H5" i="4"/>
  <c r="I5" i="4"/>
  <c r="J5" i="4"/>
  <c r="K5" i="4"/>
  <c r="L5" i="4"/>
  <c r="M5" i="4"/>
  <c r="N5" i="4"/>
  <c r="B6" i="4"/>
  <c r="C6" i="4"/>
  <c r="D6" i="4"/>
  <c r="E6" i="4"/>
  <c r="F6" i="4"/>
  <c r="G6" i="4"/>
  <c r="H6" i="4"/>
  <c r="I6" i="4"/>
  <c r="J6" i="4"/>
  <c r="K6" i="4"/>
  <c r="L6" i="4"/>
  <c r="M6" i="4"/>
  <c r="N6" i="4"/>
  <c r="B7" i="4"/>
  <c r="C7" i="4"/>
  <c r="D7" i="4"/>
  <c r="E7" i="4"/>
  <c r="F7" i="4"/>
  <c r="G7" i="4"/>
  <c r="H7" i="4"/>
  <c r="I7" i="4"/>
  <c r="J7" i="4"/>
  <c r="K7" i="4"/>
  <c r="L7" i="4"/>
  <c r="M7" i="4"/>
  <c r="N7" i="4"/>
  <c r="B8" i="4"/>
  <c r="C8" i="4"/>
  <c r="D8" i="4"/>
  <c r="E8" i="4"/>
  <c r="F8" i="4"/>
  <c r="G8" i="4"/>
  <c r="H8" i="4"/>
  <c r="I8" i="4"/>
  <c r="J8" i="4"/>
  <c r="K8" i="4"/>
  <c r="L8" i="4"/>
  <c r="M8" i="4"/>
  <c r="N8" i="4"/>
  <c r="B9" i="4"/>
  <c r="C9" i="4"/>
  <c r="D9" i="4"/>
  <c r="E9" i="4"/>
  <c r="F9" i="4"/>
  <c r="G9" i="4"/>
  <c r="H9" i="4"/>
  <c r="I9" i="4"/>
  <c r="J9" i="4"/>
  <c r="K9" i="4"/>
  <c r="L9" i="4"/>
  <c r="M9" i="4"/>
  <c r="N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C2" i="4"/>
  <c r="D2" i="4"/>
  <c r="E2" i="4"/>
  <c r="F2" i="4"/>
  <c r="G2" i="4"/>
  <c r="H2" i="4"/>
  <c r="I2" i="4"/>
  <c r="J2" i="4"/>
  <c r="K2" i="4"/>
  <c r="L2" i="4"/>
  <c r="M2" i="4"/>
  <c r="N2" i="4"/>
  <c r="B2" i="4"/>
  <c r="C15" i="2"/>
  <c r="D15" i="2"/>
  <c r="E15" i="2"/>
  <c r="F15" i="2"/>
  <c r="G15" i="2"/>
  <c r="H15" i="2"/>
  <c r="I15" i="2"/>
  <c r="J15" i="2"/>
  <c r="K15" i="2"/>
  <c r="L15" i="2"/>
  <c r="M15" i="2"/>
  <c r="N15" i="2"/>
  <c r="C16" i="2"/>
  <c r="D16" i="2"/>
  <c r="E16" i="2"/>
  <c r="F16" i="2"/>
  <c r="G16" i="2"/>
  <c r="H16" i="2"/>
  <c r="I16" i="2"/>
  <c r="J16" i="2"/>
  <c r="K16" i="2"/>
  <c r="L16" i="2"/>
  <c r="M16" i="2"/>
  <c r="N16" i="2"/>
  <c r="C17" i="2"/>
  <c r="D17" i="2"/>
  <c r="E17" i="2"/>
  <c r="F17" i="2"/>
  <c r="G17" i="2"/>
  <c r="H17" i="2"/>
  <c r="I17" i="2"/>
  <c r="J17" i="2"/>
  <c r="K17" i="2"/>
  <c r="L17" i="2"/>
  <c r="M17" i="2"/>
  <c r="N17" i="2"/>
  <c r="C18" i="2"/>
  <c r="D18" i="2"/>
  <c r="E18" i="2"/>
  <c r="F18" i="2"/>
  <c r="G18" i="2"/>
  <c r="H18" i="2"/>
  <c r="I18" i="2"/>
  <c r="J18" i="2"/>
  <c r="K18" i="2"/>
  <c r="L18" i="2"/>
  <c r="M18" i="2"/>
  <c r="N18" i="2"/>
  <c r="C19" i="2"/>
  <c r="D19" i="2"/>
  <c r="E19" i="2"/>
  <c r="F19" i="2"/>
  <c r="G19" i="2"/>
  <c r="H19" i="2"/>
  <c r="I19" i="2"/>
  <c r="J19" i="2"/>
  <c r="K19" i="2"/>
  <c r="L19" i="2"/>
  <c r="M19" i="2"/>
  <c r="N19" i="2"/>
  <c r="C20" i="2"/>
  <c r="D20" i="2"/>
  <c r="E20" i="2"/>
  <c r="F20" i="2"/>
  <c r="G20" i="2"/>
  <c r="H20" i="2"/>
  <c r="I20" i="2"/>
  <c r="J20" i="2"/>
  <c r="K20" i="2"/>
  <c r="L20" i="2"/>
  <c r="M20" i="2"/>
  <c r="N20" i="2"/>
  <c r="C21" i="2"/>
  <c r="D21" i="2"/>
  <c r="E21" i="2"/>
  <c r="F21" i="2"/>
  <c r="G21" i="2"/>
  <c r="H21" i="2"/>
  <c r="I21" i="2"/>
  <c r="J21" i="2"/>
  <c r="K21" i="2"/>
  <c r="L21" i="2"/>
  <c r="M21" i="2"/>
  <c r="N21" i="2"/>
  <c r="B21" i="2"/>
  <c r="B20" i="2"/>
  <c r="B19" i="2"/>
  <c r="B18" i="2"/>
  <c r="B17" i="2"/>
  <c r="B16" i="2"/>
  <c r="B15" i="2"/>
  <c r="C3" i="2"/>
  <c r="D3" i="2"/>
  <c r="E3" i="2"/>
  <c r="F3" i="2"/>
  <c r="G3" i="2"/>
  <c r="H3" i="2"/>
  <c r="I3" i="2"/>
  <c r="J3" i="2"/>
  <c r="K3" i="2"/>
  <c r="L3" i="2"/>
  <c r="M3" i="2"/>
  <c r="N3" i="2"/>
  <c r="C4" i="2"/>
  <c r="D4" i="2"/>
  <c r="E4" i="2"/>
  <c r="F4" i="2"/>
  <c r="G4" i="2"/>
  <c r="H4" i="2"/>
  <c r="I4" i="2"/>
  <c r="J4" i="2"/>
  <c r="K4" i="2"/>
  <c r="L4" i="2"/>
  <c r="M4" i="2"/>
  <c r="N4" i="2"/>
  <c r="C5" i="2"/>
  <c r="D5" i="2"/>
  <c r="E5" i="2"/>
  <c r="F5" i="2"/>
  <c r="G5" i="2"/>
  <c r="H5" i="2"/>
  <c r="I5" i="2"/>
  <c r="J5" i="2"/>
  <c r="K5" i="2"/>
  <c r="L5" i="2"/>
  <c r="M5" i="2"/>
  <c r="N5" i="2"/>
  <c r="C6" i="2"/>
  <c r="D6" i="2"/>
  <c r="E6" i="2"/>
  <c r="F6" i="2"/>
  <c r="G6" i="2"/>
  <c r="H6" i="2"/>
  <c r="I6" i="2"/>
  <c r="J6" i="2"/>
  <c r="K6" i="2"/>
  <c r="L6" i="2"/>
  <c r="M6" i="2"/>
  <c r="N6" i="2"/>
  <c r="C7" i="2"/>
  <c r="D7" i="2"/>
  <c r="E7" i="2"/>
  <c r="F7" i="2"/>
  <c r="G7" i="2"/>
  <c r="H7" i="2"/>
  <c r="I7" i="2"/>
  <c r="J7" i="2"/>
  <c r="K7" i="2"/>
  <c r="L7" i="2"/>
  <c r="M7" i="2"/>
  <c r="N7" i="2"/>
  <c r="C8" i="2"/>
  <c r="D8" i="2"/>
  <c r="E8" i="2"/>
  <c r="F8" i="2"/>
  <c r="G8" i="2"/>
  <c r="H8" i="2"/>
  <c r="I8" i="2"/>
  <c r="J8" i="2"/>
  <c r="K8" i="2"/>
  <c r="L8" i="2"/>
  <c r="M8" i="2"/>
  <c r="N8" i="2"/>
  <c r="B8" i="2"/>
  <c r="B7" i="2"/>
  <c r="B6" i="2"/>
  <c r="B5" i="2"/>
  <c r="B4" i="2"/>
  <c r="B3" i="2"/>
  <c r="C2" i="2"/>
  <c r="D2" i="2"/>
  <c r="E2" i="2"/>
  <c r="F2" i="2"/>
  <c r="G2" i="2"/>
  <c r="H2" i="2"/>
  <c r="I2" i="2"/>
  <c r="J2" i="2"/>
  <c r="K2" i="2"/>
  <c r="L2" i="2"/>
  <c r="M2" i="2"/>
  <c r="N2" i="2"/>
  <c r="B2" i="2"/>
  <c r="K26" i="4" l="1"/>
  <c r="I26" i="4"/>
  <c r="G26" i="4"/>
  <c r="F26" i="4"/>
  <c r="E26" i="4"/>
  <c r="H26" i="4"/>
  <c r="B26" i="4"/>
  <c r="N26" i="4"/>
  <c r="M26" i="4"/>
  <c r="L26" i="4"/>
  <c r="D26" i="4"/>
  <c r="C26" i="4"/>
  <c r="J26" i="4"/>
  <c r="B29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AL18" i="6" l="1"/>
  <c r="AL14" i="6"/>
  <c r="AL9" i="6"/>
  <c r="AL4" i="6"/>
  <c r="A7" i="7" l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L6" i="7" l="1"/>
  <c r="I6" i="7"/>
  <c r="J6" i="7"/>
  <c r="N6" i="7"/>
  <c r="M6" i="7"/>
  <c r="H6" i="7"/>
  <c r="C6" i="7"/>
  <c r="G6" i="7"/>
  <c r="E6" i="7"/>
  <c r="D6" i="7"/>
  <c r="F6" i="7"/>
  <c r="K6" i="7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C6" i="3" l="1"/>
  <c r="C7" i="7"/>
  <c r="C7" i="3" s="1"/>
  <c r="N7" i="7"/>
  <c r="N7" i="3" s="1"/>
  <c r="N6" i="3"/>
  <c r="E7" i="7"/>
  <c r="E7" i="3" s="1"/>
  <c r="E6" i="3"/>
  <c r="I7" i="7"/>
  <c r="I7" i="3" s="1"/>
  <c r="I6" i="3"/>
  <c r="G7" i="7"/>
  <c r="G7" i="3" s="1"/>
  <c r="G6" i="3"/>
  <c r="K7" i="7"/>
  <c r="K7" i="3" s="1"/>
  <c r="K6" i="3"/>
  <c r="F7" i="7"/>
  <c r="F7" i="3" s="1"/>
  <c r="F6" i="3"/>
  <c r="H7" i="7"/>
  <c r="H7" i="3" s="1"/>
  <c r="H6" i="3"/>
  <c r="L7" i="7"/>
  <c r="L7" i="3" s="1"/>
  <c r="L6" i="3"/>
  <c r="D7" i="7"/>
  <c r="D7" i="3" s="1"/>
  <c r="D6" i="3"/>
  <c r="M7" i="7"/>
  <c r="M7" i="3" s="1"/>
  <c r="M6" i="3"/>
  <c r="J7" i="7"/>
  <c r="J7" i="3" s="1"/>
  <c r="J6" i="3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" i="4"/>
  <c r="C33" i="2"/>
  <c r="G33" i="2"/>
  <c r="K33" i="2"/>
  <c r="C34" i="2"/>
  <c r="G34" i="2"/>
  <c r="K34" i="2"/>
  <c r="B34" i="2"/>
  <c r="C32" i="2"/>
  <c r="D32" i="2"/>
  <c r="E32" i="2"/>
  <c r="F32" i="2"/>
  <c r="G32" i="2"/>
  <c r="H32" i="2"/>
  <c r="I32" i="2"/>
  <c r="J32" i="2"/>
  <c r="K32" i="2"/>
  <c r="L32" i="2"/>
  <c r="M32" i="2"/>
  <c r="N32" i="2"/>
  <c r="B32" i="2"/>
  <c r="D31" i="2"/>
  <c r="E31" i="2"/>
  <c r="F31" i="2"/>
  <c r="H31" i="2"/>
  <c r="I31" i="2"/>
  <c r="J31" i="2"/>
  <c r="L31" i="2"/>
  <c r="M31" i="2"/>
  <c r="N31" i="2"/>
  <c r="C30" i="2"/>
  <c r="D30" i="2"/>
  <c r="G30" i="2"/>
  <c r="H30" i="2"/>
  <c r="K30" i="2"/>
  <c r="L30" i="2"/>
  <c r="B30" i="2"/>
  <c r="B22" i="2"/>
  <c r="F9" i="2"/>
  <c r="J9" i="2"/>
  <c r="N9" i="2"/>
  <c r="O7" i="3" l="1"/>
  <c r="O26" i="4"/>
  <c r="O6" i="3"/>
  <c r="M9" i="2"/>
  <c r="E9" i="2"/>
  <c r="L29" i="2"/>
  <c r="L9" i="2"/>
  <c r="H29" i="2"/>
  <c r="H9" i="2"/>
  <c r="D29" i="2"/>
  <c r="D9" i="2"/>
  <c r="I9" i="2"/>
  <c r="B9" i="2"/>
  <c r="K9" i="2"/>
  <c r="G9" i="2"/>
  <c r="C9" i="2"/>
  <c r="N34" i="2"/>
  <c r="J34" i="2"/>
  <c r="F34" i="2"/>
  <c r="N33" i="2"/>
  <c r="J33" i="2"/>
  <c r="F33" i="2"/>
  <c r="N30" i="2"/>
  <c r="J30" i="2"/>
  <c r="F30" i="2"/>
  <c r="N29" i="2"/>
  <c r="J29" i="2"/>
  <c r="F29" i="2"/>
  <c r="M29" i="2"/>
  <c r="I29" i="2"/>
  <c r="E29" i="2"/>
  <c r="M34" i="2"/>
  <c r="I34" i="2"/>
  <c r="E34" i="2"/>
  <c r="M33" i="2"/>
  <c r="I33" i="2"/>
  <c r="E33" i="2"/>
  <c r="K29" i="2"/>
  <c r="G29" i="2"/>
  <c r="C29" i="2"/>
  <c r="M30" i="2"/>
  <c r="I30" i="2"/>
  <c r="E30" i="2"/>
  <c r="B31" i="2"/>
  <c r="K31" i="2"/>
  <c r="G31" i="2"/>
  <c r="C31" i="2"/>
  <c r="B33" i="2"/>
  <c r="L34" i="2"/>
  <c r="H34" i="2"/>
  <c r="D34" i="2"/>
  <c r="L33" i="2"/>
  <c r="H33" i="2"/>
  <c r="D33" i="2"/>
  <c r="P32" i="2"/>
  <c r="L22" i="2"/>
  <c r="D22" i="2"/>
  <c r="K22" i="2"/>
  <c r="C22" i="2"/>
  <c r="J22" i="2"/>
  <c r="G22" i="2"/>
  <c r="I22" i="2"/>
  <c r="N22" i="2"/>
  <c r="F22" i="2"/>
  <c r="H22" i="2"/>
  <c r="M22" i="2"/>
  <c r="E22" i="2"/>
  <c r="C32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L35" i="2" l="1"/>
  <c r="B35" i="2"/>
  <c r="J35" i="2"/>
  <c r="K35" i="2"/>
  <c r="F35" i="2"/>
  <c r="I35" i="2"/>
  <c r="C35" i="2"/>
  <c r="E35" i="2"/>
  <c r="D35" i="2"/>
  <c r="N35" i="2"/>
  <c r="G35" i="2"/>
  <c r="M35" i="2"/>
  <c r="H35" i="2"/>
  <c r="P30" i="2"/>
  <c r="P34" i="2"/>
  <c r="P33" i="2"/>
  <c r="P31" i="2"/>
  <c r="P29" i="2"/>
  <c r="Q22" i="2"/>
  <c r="P28" i="2" l="1"/>
  <c r="M3" i="1"/>
  <c r="M6" i="1" s="1"/>
  <c r="L3" i="1"/>
  <c r="L6" i="1" s="1"/>
  <c r="U7" i="6" s="1"/>
  <c r="C3" i="1"/>
  <c r="C6" i="1" s="1"/>
  <c r="C7" i="1" s="1"/>
  <c r="E3" i="1"/>
  <c r="E6" i="1" s="1"/>
  <c r="H7" i="6" s="1"/>
  <c r="D8" i="7"/>
  <c r="I3" i="1"/>
  <c r="C8" i="7"/>
  <c r="D3" i="1"/>
  <c r="N3" i="1"/>
  <c r="H3" i="1"/>
  <c r="G3" i="1"/>
  <c r="F3" i="1"/>
  <c r="K3" i="1"/>
  <c r="J3" i="1"/>
  <c r="D27" i="4"/>
  <c r="F27" i="4"/>
  <c r="H27" i="4"/>
  <c r="J27" i="4"/>
  <c r="L27" i="4"/>
  <c r="N27" i="4"/>
  <c r="B27" i="4"/>
  <c r="P4" i="4"/>
  <c r="P6" i="4"/>
  <c r="P8" i="4"/>
  <c r="P10" i="4"/>
  <c r="P12" i="4"/>
  <c r="P14" i="4"/>
  <c r="P16" i="4"/>
  <c r="P18" i="4"/>
  <c r="P20" i="4"/>
  <c r="P22" i="4"/>
  <c r="P24" i="4"/>
  <c r="P2" i="4"/>
  <c r="C27" i="4"/>
  <c r="E27" i="4"/>
  <c r="G27" i="4"/>
  <c r="I27" i="4"/>
  <c r="K27" i="4"/>
  <c r="M27" i="4"/>
  <c r="O27" i="4"/>
  <c r="P3" i="4"/>
  <c r="P5" i="4"/>
  <c r="P7" i="4"/>
  <c r="P9" i="4"/>
  <c r="P11" i="4"/>
  <c r="P13" i="4"/>
  <c r="P15" i="4"/>
  <c r="P17" i="4"/>
  <c r="P19" i="4"/>
  <c r="P21" i="4"/>
  <c r="P23" i="4"/>
  <c r="P25" i="4"/>
  <c r="P26" i="4" l="1"/>
  <c r="Q9" i="2"/>
  <c r="C9" i="7"/>
  <c r="C8" i="3"/>
  <c r="D9" i="7"/>
  <c r="D8" i="3"/>
  <c r="N8" i="7"/>
  <c r="E8" i="7"/>
  <c r="I8" i="7"/>
  <c r="H8" i="7"/>
  <c r="G8" i="7"/>
  <c r="M8" i="7"/>
  <c r="L8" i="7"/>
  <c r="K8" i="7"/>
  <c r="F8" i="7"/>
  <c r="J8" i="7"/>
  <c r="G7" i="6"/>
  <c r="X7" i="6"/>
  <c r="V7" i="6"/>
  <c r="W7" i="6"/>
  <c r="L7" i="1"/>
  <c r="U8" i="6" s="1"/>
  <c r="C7" i="6"/>
  <c r="M7" i="1"/>
  <c r="X8" i="6" s="1"/>
  <c r="E7" i="1"/>
  <c r="G8" i="6" s="1"/>
  <c r="D7" i="6"/>
  <c r="C8" i="1"/>
  <c r="C9" i="1" s="1"/>
  <c r="C10" i="1" s="1"/>
  <c r="C11" i="6" s="1"/>
  <c r="C8" i="6"/>
  <c r="D8" i="6"/>
  <c r="I6" i="1"/>
  <c r="I7" i="1" s="1"/>
  <c r="I8" i="1" s="1"/>
  <c r="N6" i="1"/>
  <c r="D6" i="1"/>
  <c r="D7" i="1" s="1"/>
  <c r="K6" i="1"/>
  <c r="K7" i="1" s="1"/>
  <c r="G6" i="1"/>
  <c r="J6" i="1"/>
  <c r="J7" i="1" s="1"/>
  <c r="F6" i="1"/>
  <c r="H6" i="1"/>
  <c r="H7" i="1" s="1"/>
  <c r="O6" i="7"/>
  <c r="K9" i="7" l="1"/>
  <c r="K8" i="3"/>
  <c r="H9" i="7"/>
  <c r="H8" i="3"/>
  <c r="L9" i="7"/>
  <c r="L8" i="3"/>
  <c r="I9" i="7"/>
  <c r="I8" i="3"/>
  <c r="D10" i="7"/>
  <c r="D9" i="3"/>
  <c r="E9" i="7"/>
  <c r="O9" i="7" s="1"/>
  <c r="E8" i="3"/>
  <c r="J9" i="7"/>
  <c r="J8" i="3"/>
  <c r="M9" i="7"/>
  <c r="M8" i="3"/>
  <c r="F9" i="7"/>
  <c r="F8" i="3"/>
  <c r="G9" i="7"/>
  <c r="G8" i="3"/>
  <c r="N9" i="7"/>
  <c r="N8" i="3"/>
  <c r="C10" i="7"/>
  <c r="C9" i="3"/>
  <c r="O7" i="7"/>
  <c r="V8" i="6"/>
  <c r="L8" i="1"/>
  <c r="L9" i="1" s="1"/>
  <c r="W8" i="6"/>
  <c r="M8" i="1"/>
  <c r="C10" i="6"/>
  <c r="C11" i="1"/>
  <c r="D12" i="6" s="1"/>
  <c r="D10" i="6"/>
  <c r="E8" i="1"/>
  <c r="H8" i="6"/>
  <c r="D11" i="6"/>
  <c r="C9" i="6"/>
  <c r="D9" i="6"/>
  <c r="P9" i="6"/>
  <c r="O9" i="6"/>
  <c r="I9" i="1"/>
  <c r="K8" i="1"/>
  <c r="T8" i="6"/>
  <c r="S8" i="6"/>
  <c r="M8" i="6"/>
  <c r="N8" i="6"/>
  <c r="H8" i="1"/>
  <c r="Q8" i="6"/>
  <c r="R8" i="6"/>
  <c r="K7" i="6"/>
  <c r="L7" i="6"/>
  <c r="F7" i="6"/>
  <c r="E7" i="6"/>
  <c r="P8" i="6"/>
  <c r="O8" i="6"/>
  <c r="I7" i="6"/>
  <c r="J7" i="6"/>
  <c r="O6" i="1"/>
  <c r="P6" i="1" s="1"/>
  <c r="M7" i="6"/>
  <c r="N7" i="6"/>
  <c r="J8" i="1"/>
  <c r="P7" i="6"/>
  <c r="O7" i="6"/>
  <c r="D8" i="1"/>
  <c r="F8" i="6"/>
  <c r="E8" i="6"/>
  <c r="Y7" i="6"/>
  <c r="Z7" i="6"/>
  <c r="F7" i="1"/>
  <c r="I8" i="6" s="1"/>
  <c r="Q7" i="6"/>
  <c r="R7" i="6"/>
  <c r="G7" i="1"/>
  <c r="T7" i="6"/>
  <c r="S7" i="6"/>
  <c r="N7" i="1"/>
  <c r="O8" i="7"/>
  <c r="O8" i="3" l="1"/>
  <c r="C11" i="7"/>
  <c r="C10" i="3"/>
  <c r="G10" i="7"/>
  <c r="G9" i="3"/>
  <c r="M10" i="7"/>
  <c r="M9" i="3"/>
  <c r="E10" i="7"/>
  <c r="E9" i="3"/>
  <c r="I10" i="7"/>
  <c r="I9" i="3"/>
  <c r="H10" i="7"/>
  <c r="H9" i="3"/>
  <c r="N10" i="7"/>
  <c r="N9" i="3"/>
  <c r="F10" i="7"/>
  <c r="F9" i="3"/>
  <c r="J10" i="7"/>
  <c r="J9" i="3"/>
  <c r="D11" i="7"/>
  <c r="D10" i="3"/>
  <c r="L10" i="7"/>
  <c r="L9" i="3"/>
  <c r="K10" i="7"/>
  <c r="K9" i="3"/>
  <c r="X9" i="6"/>
  <c r="V9" i="6"/>
  <c r="L10" i="1"/>
  <c r="U10" i="6"/>
  <c r="M9" i="1"/>
  <c r="W9" i="6"/>
  <c r="U9" i="6"/>
  <c r="V10" i="6"/>
  <c r="C12" i="1"/>
  <c r="C12" i="6"/>
  <c r="G9" i="6"/>
  <c r="H9" i="6"/>
  <c r="E9" i="1"/>
  <c r="O10" i="6"/>
  <c r="O7" i="1"/>
  <c r="P7" i="1" s="1"/>
  <c r="P10" i="6"/>
  <c r="I10" i="1"/>
  <c r="I11" i="1" s="1"/>
  <c r="Y8" i="6"/>
  <c r="Z8" i="6"/>
  <c r="N8" i="1"/>
  <c r="F9" i="6"/>
  <c r="E9" i="6"/>
  <c r="D9" i="1"/>
  <c r="M9" i="6"/>
  <c r="H9" i="1"/>
  <c r="N9" i="6"/>
  <c r="L8" i="6"/>
  <c r="K8" i="6"/>
  <c r="G8" i="1"/>
  <c r="Q9" i="6"/>
  <c r="R9" i="6"/>
  <c r="J9" i="1"/>
  <c r="F8" i="1"/>
  <c r="J8" i="6"/>
  <c r="AA7" i="6"/>
  <c r="AB7" i="6" s="1"/>
  <c r="S9" i="6"/>
  <c r="T9" i="6"/>
  <c r="K9" i="1"/>
  <c r="O9" i="3" l="1"/>
  <c r="L11" i="7"/>
  <c r="L10" i="3"/>
  <c r="N11" i="7"/>
  <c r="N10" i="3"/>
  <c r="I11" i="7"/>
  <c r="I10" i="3"/>
  <c r="M11" i="7"/>
  <c r="M10" i="3"/>
  <c r="C12" i="7"/>
  <c r="C11" i="3"/>
  <c r="K11" i="7"/>
  <c r="K10" i="3"/>
  <c r="D12" i="7"/>
  <c r="D11" i="3"/>
  <c r="F11" i="7"/>
  <c r="F10" i="3"/>
  <c r="H11" i="7"/>
  <c r="H10" i="3"/>
  <c r="E11" i="7"/>
  <c r="E10" i="3"/>
  <c r="G11" i="7"/>
  <c r="G10" i="3"/>
  <c r="J11" i="7"/>
  <c r="J10" i="3"/>
  <c r="O10" i="7"/>
  <c r="W10" i="6"/>
  <c r="V11" i="6"/>
  <c r="U11" i="6"/>
  <c r="M10" i="1"/>
  <c r="X10" i="6"/>
  <c r="L11" i="1"/>
  <c r="D13" i="6"/>
  <c r="P11" i="6"/>
  <c r="C13" i="1"/>
  <c r="C13" i="6"/>
  <c r="O11" i="6"/>
  <c r="H10" i="6"/>
  <c r="E10" i="1"/>
  <c r="G10" i="6"/>
  <c r="AA8" i="6"/>
  <c r="AB8" i="6" s="1"/>
  <c r="G9" i="1"/>
  <c r="K9" i="6"/>
  <c r="L9" i="6"/>
  <c r="F10" i="6"/>
  <c r="D10" i="1"/>
  <c r="E10" i="6"/>
  <c r="F9" i="1"/>
  <c r="I10" i="6" s="1"/>
  <c r="J9" i="6"/>
  <c r="I9" i="6"/>
  <c r="M10" i="6"/>
  <c r="H10" i="1"/>
  <c r="N10" i="6"/>
  <c r="Z9" i="6"/>
  <c r="Y9" i="6"/>
  <c r="N9" i="1"/>
  <c r="O8" i="1"/>
  <c r="P8" i="1" s="1"/>
  <c r="S10" i="6"/>
  <c r="T10" i="6"/>
  <c r="K10" i="1"/>
  <c r="R10" i="6"/>
  <c r="J10" i="1"/>
  <c r="Q10" i="6"/>
  <c r="I12" i="1"/>
  <c r="P12" i="6"/>
  <c r="O12" i="6"/>
  <c r="O11" i="7" l="1"/>
  <c r="O10" i="3"/>
  <c r="G12" i="7"/>
  <c r="G11" i="3"/>
  <c r="H12" i="7"/>
  <c r="H11" i="3"/>
  <c r="D13" i="7"/>
  <c r="D12" i="3"/>
  <c r="C13" i="7"/>
  <c r="C12" i="3"/>
  <c r="I12" i="7"/>
  <c r="I11" i="3"/>
  <c r="L12" i="7"/>
  <c r="L11" i="3"/>
  <c r="J12" i="7"/>
  <c r="J11" i="3"/>
  <c r="E12" i="7"/>
  <c r="E11" i="3"/>
  <c r="F12" i="7"/>
  <c r="F11" i="3"/>
  <c r="K12" i="7"/>
  <c r="K11" i="3"/>
  <c r="M12" i="7"/>
  <c r="M11" i="3"/>
  <c r="N12" i="7"/>
  <c r="N11" i="3"/>
  <c r="M11" i="1"/>
  <c r="M12" i="1" s="1"/>
  <c r="M13" i="1" s="1"/>
  <c r="W11" i="6"/>
  <c r="L12" i="1"/>
  <c r="V12" i="6"/>
  <c r="U12" i="6"/>
  <c r="X11" i="6"/>
  <c r="D14" i="6"/>
  <c r="C14" i="1"/>
  <c r="C14" i="6"/>
  <c r="H11" i="6"/>
  <c r="G11" i="6"/>
  <c r="E11" i="1"/>
  <c r="O9" i="1"/>
  <c r="P9" i="1" s="1"/>
  <c r="AA9" i="6"/>
  <c r="AB9" i="6" s="1"/>
  <c r="J11" i="1"/>
  <c r="R11" i="6"/>
  <c r="Q11" i="6"/>
  <c r="T11" i="6"/>
  <c r="S11" i="6"/>
  <c r="K11" i="1"/>
  <c r="F10" i="1"/>
  <c r="I11" i="6" s="1"/>
  <c r="J10" i="6"/>
  <c r="F11" i="6"/>
  <c r="D11" i="1"/>
  <c r="E11" i="6"/>
  <c r="M11" i="6"/>
  <c r="H11" i="1"/>
  <c r="N11" i="6"/>
  <c r="Y10" i="6"/>
  <c r="N10" i="1"/>
  <c r="Z10" i="6"/>
  <c r="K10" i="6"/>
  <c r="L10" i="6"/>
  <c r="G10" i="1"/>
  <c r="I13" i="1"/>
  <c r="P13" i="6"/>
  <c r="O13" i="6"/>
  <c r="O11" i="3" l="1"/>
  <c r="M13" i="7"/>
  <c r="M12" i="3"/>
  <c r="J13" i="7"/>
  <c r="J12" i="3"/>
  <c r="I13" i="7"/>
  <c r="I12" i="3"/>
  <c r="F13" i="7"/>
  <c r="F12" i="3"/>
  <c r="G13" i="7"/>
  <c r="G12" i="3"/>
  <c r="O12" i="7"/>
  <c r="N13" i="7"/>
  <c r="N12" i="3"/>
  <c r="K13" i="7"/>
  <c r="K12" i="3"/>
  <c r="E13" i="7"/>
  <c r="E12" i="3"/>
  <c r="L13" i="7"/>
  <c r="L12" i="3"/>
  <c r="C14" i="7"/>
  <c r="C13" i="3"/>
  <c r="H13" i="7"/>
  <c r="H12" i="3"/>
  <c r="D14" i="7"/>
  <c r="D13" i="3"/>
  <c r="X12" i="6"/>
  <c r="L13" i="1"/>
  <c r="V13" i="6"/>
  <c r="U13" i="6"/>
  <c r="W12" i="6"/>
  <c r="C15" i="6"/>
  <c r="C15" i="1"/>
  <c r="D15" i="6"/>
  <c r="W13" i="6"/>
  <c r="X13" i="6"/>
  <c r="H12" i="6"/>
  <c r="G12" i="6"/>
  <c r="E12" i="1"/>
  <c r="AA10" i="6"/>
  <c r="AB10" i="6" s="1"/>
  <c r="O10" i="1"/>
  <c r="P10" i="1" s="1"/>
  <c r="M12" i="6"/>
  <c r="H12" i="1"/>
  <c r="N12" i="6"/>
  <c r="Y11" i="6"/>
  <c r="N11" i="1"/>
  <c r="Z11" i="6"/>
  <c r="D12" i="1"/>
  <c r="E12" i="6"/>
  <c r="F12" i="6"/>
  <c r="G11" i="1"/>
  <c r="K11" i="6"/>
  <c r="L11" i="6"/>
  <c r="T12" i="6"/>
  <c r="S12" i="6"/>
  <c r="K12" i="1"/>
  <c r="J11" i="6"/>
  <c r="F11" i="1"/>
  <c r="I12" i="6" s="1"/>
  <c r="J12" i="1"/>
  <c r="R12" i="6"/>
  <c r="Q12" i="6"/>
  <c r="M14" i="1"/>
  <c r="X14" i="6"/>
  <c r="W14" i="6"/>
  <c r="I14" i="1"/>
  <c r="P14" i="6"/>
  <c r="O14" i="6"/>
  <c r="O13" i="7" l="1"/>
  <c r="O12" i="3"/>
  <c r="D15" i="7"/>
  <c r="D14" i="3"/>
  <c r="N14" i="7"/>
  <c r="N13" i="3"/>
  <c r="I14" i="7"/>
  <c r="I13" i="3"/>
  <c r="F14" i="7"/>
  <c r="F13" i="3"/>
  <c r="C15" i="7"/>
  <c r="C14" i="3"/>
  <c r="M14" i="7"/>
  <c r="M13" i="3"/>
  <c r="H14" i="7"/>
  <c r="H13" i="3"/>
  <c r="L14" i="7"/>
  <c r="L13" i="3"/>
  <c r="K14" i="7"/>
  <c r="K13" i="3"/>
  <c r="J14" i="7"/>
  <c r="J13" i="3"/>
  <c r="G14" i="7"/>
  <c r="G13" i="3"/>
  <c r="E14" i="7"/>
  <c r="E13" i="3"/>
  <c r="U14" i="6"/>
  <c r="L14" i="1"/>
  <c r="V14" i="6"/>
  <c r="D16" i="6"/>
  <c r="C16" i="1"/>
  <c r="C16" i="6"/>
  <c r="E13" i="1"/>
  <c r="G13" i="6"/>
  <c r="H13" i="6"/>
  <c r="O11" i="1"/>
  <c r="P11" i="1" s="1"/>
  <c r="AA11" i="6"/>
  <c r="AB11" i="6" s="1"/>
  <c r="T13" i="6"/>
  <c r="S13" i="6"/>
  <c r="K13" i="1"/>
  <c r="G12" i="1"/>
  <c r="L12" i="6"/>
  <c r="K12" i="6"/>
  <c r="J13" i="1"/>
  <c r="R13" i="6"/>
  <c r="Q13" i="6"/>
  <c r="H13" i="1"/>
  <c r="N13" i="6"/>
  <c r="M13" i="6"/>
  <c r="F12" i="1"/>
  <c r="I13" i="6" s="1"/>
  <c r="J12" i="6"/>
  <c r="D13" i="1"/>
  <c r="F13" i="6"/>
  <c r="E13" i="6"/>
  <c r="Y12" i="6"/>
  <c r="N12" i="1"/>
  <c r="Z12" i="6"/>
  <c r="I15" i="1"/>
  <c r="P15" i="6"/>
  <c r="O15" i="6"/>
  <c r="M15" i="1"/>
  <c r="X15" i="6"/>
  <c r="W15" i="6"/>
  <c r="O13" i="3" l="1"/>
  <c r="K15" i="7"/>
  <c r="K14" i="3"/>
  <c r="I15" i="7"/>
  <c r="I14" i="3"/>
  <c r="E15" i="7"/>
  <c r="E14" i="3"/>
  <c r="J15" i="7"/>
  <c r="J14" i="3"/>
  <c r="L15" i="7"/>
  <c r="L14" i="3"/>
  <c r="M15" i="7"/>
  <c r="M14" i="3"/>
  <c r="F15" i="7"/>
  <c r="F14" i="3"/>
  <c r="N15" i="7"/>
  <c r="N14" i="3"/>
  <c r="G15" i="7"/>
  <c r="G14" i="3"/>
  <c r="H15" i="7"/>
  <c r="H14" i="3"/>
  <c r="D16" i="7"/>
  <c r="D15" i="3"/>
  <c r="O14" i="7"/>
  <c r="C16" i="7"/>
  <c r="C15" i="3"/>
  <c r="L15" i="1"/>
  <c r="V15" i="6"/>
  <c r="U15" i="6"/>
  <c r="C17" i="6"/>
  <c r="C17" i="1"/>
  <c r="D17" i="6"/>
  <c r="H14" i="6"/>
  <c r="E14" i="1"/>
  <c r="G14" i="6"/>
  <c r="O12" i="1"/>
  <c r="P12" i="1" s="1"/>
  <c r="AA12" i="6"/>
  <c r="AB12" i="6" s="1"/>
  <c r="J14" i="1"/>
  <c r="R14" i="6"/>
  <c r="Q14" i="6"/>
  <c r="F14" i="6"/>
  <c r="E14" i="6"/>
  <c r="D14" i="1"/>
  <c r="L13" i="6"/>
  <c r="G13" i="1"/>
  <c r="K13" i="6"/>
  <c r="Y13" i="6"/>
  <c r="N13" i="1"/>
  <c r="Z13" i="6"/>
  <c r="F13" i="1"/>
  <c r="I14" i="6" s="1"/>
  <c r="J13" i="6"/>
  <c r="M14" i="6"/>
  <c r="H14" i="1"/>
  <c r="N14" i="6"/>
  <c r="K14" i="1"/>
  <c r="S14" i="6"/>
  <c r="T14" i="6"/>
  <c r="M16" i="1"/>
  <c r="X16" i="6"/>
  <c r="W16" i="6"/>
  <c r="I16" i="1"/>
  <c r="P16" i="6"/>
  <c r="O16" i="6"/>
  <c r="O15" i="7" l="1"/>
  <c r="O14" i="3"/>
  <c r="H16" i="7"/>
  <c r="H15" i="3"/>
  <c r="N16" i="7"/>
  <c r="N15" i="3"/>
  <c r="M16" i="7"/>
  <c r="M15" i="3"/>
  <c r="J16" i="7"/>
  <c r="J15" i="3"/>
  <c r="I16" i="7"/>
  <c r="I15" i="3"/>
  <c r="C17" i="7"/>
  <c r="C16" i="3"/>
  <c r="D17" i="7"/>
  <c r="D16" i="3"/>
  <c r="G16" i="7"/>
  <c r="G15" i="3"/>
  <c r="F16" i="7"/>
  <c r="F15" i="3"/>
  <c r="L16" i="7"/>
  <c r="L15" i="3"/>
  <c r="E16" i="7"/>
  <c r="E15" i="3"/>
  <c r="O15" i="3" s="1"/>
  <c r="K16" i="7"/>
  <c r="K15" i="3"/>
  <c r="L16" i="1"/>
  <c r="V16" i="6"/>
  <c r="U16" i="6"/>
  <c r="D18" i="6"/>
  <c r="C18" i="1"/>
  <c r="C18" i="6"/>
  <c r="E15" i="1"/>
  <c r="G15" i="6"/>
  <c r="H15" i="6"/>
  <c r="O13" i="1"/>
  <c r="P13" i="1" s="1"/>
  <c r="AA13" i="6"/>
  <c r="AB13" i="6" s="1"/>
  <c r="J14" i="6"/>
  <c r="F14" i="1"/>
  <c r="I15" i="6" s="1"/>
  <c r="M15" i="6"/>
  <c r="H15" i="1"/>
  <c r="N15" i="6"/>
  <c r="N14" i="1"/>
  <c r="Y14" i="6"/>
  <c r="Z14" i="6"/>
  <c r="D15" i="1"/>
  <c r="E15" i="6"/>
  <c r="F15" i="6"/>
  <c r="T15" i="6"/>
  <c r="K15" i="1"/>
  <c r="S15" i="6"/>
  <c r="L14" i="6"/>
  <c r="G14" i="1"/>
  <c r="K14" i="6"/>
  <c r="Q15" i="6"/>
  <c r="J15" i="1"/>
  <c r="R15" i="6"/>
  <c r="I17" i="1"/>
  <c r="P17" i="6"/>
  <c r="O17" i="6"/>
  <c r="M17" i="1"/>
  <c r="X17" i="6"/>
  <c r="W17" i="6"/>
  <c r="O16" i="7" l="1"/>
  <c r="K17" i="7"/>
  <c r="K16" i="3"/>
  <c r="L17" i="7"/>
  <c r="L16" i="3"/>
  <c r="G17" i="7"/>
  <c r="G16" i="3"/>
  <c r="C18" i="7"/>
  <c r="C17" i="3"/>
  <c r="J17" i="7"/>
  <c r="J16" i="3"/>
  <c r="N17" i="7"/>
  <c r="N16" i="3"/>
  <c r="F17" i="7"/>
  <c r="F16" i="3"/>
  <c r="E17" i="7"/>
  <c r="E16" i="3"/>
  <c r="D18" i="7"/>
  <c r="D17" i="3"/>
  <c r="I17" i="7"/>
  <c r="I16" i="3"/>
  <c r="M17" i="7"/>
  <c r="M16" i="3"/>
  <c r="H17" i="7"/>
  <c r="H16" i="3"/>
  <c r="U17" i="6"/>
  <c r="V17" i="6"/>
  <c r="L17" i="1"/>
  <c r="C19" i="1"/>
  <c r="D19" i="6"/>
  <c r="C19" i="6"/>
  <c r="G16" i="6"/>
  <c r="E16" i="1"/>
  <c r="H16" i="6"/>
  <c r="AA14" i="6"/>
  <c r="AB14" i="6" s="1"/>
  <c r="O14" i="1"/>
  <c r="P14" i="1" s="1"/>
  <c r="K16" i="1"/>
  <c r="S16" i="6"/>
  <c r="T16" i="6"/>
  <c r="F16" i="6"/>
  <c r="D16" i="1"/>
  <c r="E16" i="6"/>
  <c r="Y15" i="6"/>
  <c r="N15" i="1"/>
  <c r="Z15" i="6"/>
  <c r="H16" i="1"/>
  <c r="M16" i="6"/>
  <c r="N16" i="6"/>
  <c r="F15" i="1"/>
  <c r="I16" i="6" s="1"/>
  <c r="J15" i="6"/>
  <c r="R16" i="6"/>
  <c r="Q16" i="6"/>
  <c r="J16" i="1"/>
  <c r="L15" i="6"/>
  <c r="G15" i="1"/>
  <c r="K15" i="6"/>
  <c r="M18" i="1"/>
  <c r="W18" i="6"/>
  <c r="X18" i="6"/>
  <c r="I18" i="1"/>
  <c r="O18" i="6"/>
  <c r="P18" i="6"/>
  <c r="O17" i="7" l="1"/>
  <c r="O16" i="3"/>
  <c r="H18" i="7"/>
  <c r="H17" i="3"/>
  <c r="I18" i="7"/>
  <c r="I17" i="3"/>
  <c r="E18" i="7"/>
  <c r="E17" i="3"/>
  <c r="N18" i="7"/>
  <c r="N17" i="3"/>
  <c r="C19" i="7"/>
  <c r="C18" i="3"/>
  <c r="L18" i="7"/>
  <c r="L17" i="3"/>
  <c r="M18" i="7"/>
  <c r="M17" i="3"/>
  <c r="D19" i="7"/>
  <c r="D18" i="3"/>
  <c r="F18" i="7"/>
  <c r="F17" i="3"/>
  <c r="J18" i="7"/>
  <c r="J17" i="3"/>
  <c r="G18" i="7"/>
  <c r="G17" i="3"/>
  <c r="K18" i="7"/>
  <c r="K17" i="3"/>
  <c r="L18" i="1"/>
  <c r="V18" i="6"/>
  <c r="U18" i="6"/>
  <c r="C20" i="1"/>
  <c r="C20" i="6"/>
  <c r="D20" i="6"/>
  <c r="H17" i="6"/>
  <c r="E17" i="1"/>
  <c r="G17" i="6"/>
  <c r="O15" i="1"/>
  <c r="P15" i="1" s="1"/>
  <c r="AA15" i="6"/>
  <c r="AB15" i="6" s="1"/>
  <c r="G16" i="1"/>
  <c r="K16" i="6"/>
  <c r="L16" i="6"/>
  <c r="F16" i="1"/>
  <c r="I17" i="6" s="1"/>
  <c r="J16" i="6"/>
  <c r="Y16" i="6"/>
  <c r="N16" i="1"/>
  <c r="Z16" i="6"/>
  <c r="F17" i="6"/>
  <c r="D17" i="1"/>
  <c r="E17" i="6"/>
  <c r="Q17" i="6"/>
  <c r="J17" i="1"/>
  <c r="R17" i="6"/>
  <c r="M17" i="6"/>
  <c r="H17" i="1"/>
  <c r="N17" i="6"/>
  <c r="K17" i="1"/>
  <c r="S17" i="6"/>
  <c r="T17" i="6"/>
  <c r="M19" i="1"/>
  <c r="W19" i="6"/>
  <c r="X19" i="6"/>
  <c r="I19" i="1"/>
  <c r="O19" i="6"/>
  <c r="P19" i="6"/>
  <c r="O18" i="7" l="1"/>
  <c r="O17" i="3"/>
  <c r="K19" i="7"/>
  <c r="K18" i="3"/>
  <c r="J19" i="7"/>
  <c r="J18" i="3"/>
  <c r="D20" i="7"/>
  <c r="D19" i="3"/>
  <c r="L19" i="7"/>
  <c r="L18" i="3"/>
  <c r="N19" i="7"/>
  <c r="N18" i="3"/>
  <c r="I19" i="7"/>
  <c r="I18" i="3"/>
  <c r="G19" i="7"/>
  <c r="G18" i="3"/>
  <c r="F19" i="7"/>
  <c r="F18" i="3"/>
  <c r="M19" i="7"/>
  <c r="M18" i="3"/>
  <c r="C20" i="7"/>
  <c r="C19" i="3"/>
  <c r="E19" i="7"/>
  <c r="O19" i="7" s="1"/>
  <c r="E18" i="3"/>
  <c r="H19" i="7"/>
  <c r="H18" i="3"/>
  <c r="U19" i="6"/>
  <c r="L19" i="1"/>
  <c r="V19" i="6"/>
  <c r="C21" i="6"/>
  <c r="C21" i="1"/>
  <c r="D21" i="6"/>
  <c r="H18" i="6"/>
  <c r="E18" i="1"/>
  <c r="G18" i="6"/>
  <c r="AA16" i="6"/>
  <c r="AB16" i="6" s="1"/>
  <c r="O16" i="1"/>
  <c r="P16" i="1" s="1"/>
  <c r="Y17" i="6"/>
  <c r="N17" i="1"/>
  <c r="Z17" i="6"/>
  <c r="J18" i="1"/>
  <c r="R18" i="6"/>
  <c r="Q18" i="6"/>
  <c r="F17" i="1"/>
  <c r="I18" i="6" s="1"/>
  <c r="J17" i="6"/>
  <c r="L17" i="6"/>
  <c r="G17" i="1"/>
  <c r="K17" i="6"/>
  <c r="F18" i="6"/>
  <c r="D18" i="1"/>
  <c r="E18" i="6"/>
  <c r="K18" i="1"/>
  <c r="T18" i="6"/>
  <c r="S18" i="6"/>
  <c r="M18" i="6"/>
  <c r="H18" i="1"/>
  <c r="N18" i="6"/>
  <c r="M20" i="1"/>
  <c r="W20" i="6"/>
  <c r="X20" i="6"/>
  <c r="I20" i="1"/>
  <c r="O20" i="6"/>
  <c r="P20" i="6"/>
  <c r="O18" i="3" l="1"/>
  <c r="H20" i="7"/>
  <c r="H19" i="3"/>
  <c r="C21" i="7"/>
  <c r="C20" i="3"/>
  <c r="F20" i="7"/>
  <c r="F19" i="3"/>
  <c r="I20" i="7"/>
  <c r="I19" i="3"/>
  <c r="L20" i="7"/>
  <c r="L19" i="3"/>
  <c r="J20" i="7"/>
  <c r="J19" i="3"/>
  <c r="E20" i="7"/>
  <c r="E19" i="3"/>
  <c r="M20" i="7"/>
  <c r="M19" i="3"/>
  <c r="G20" i="7"/>
  <c r="G19" i="3"/>
  <c r="N20" i="7"/>
  <c r="N19" i="3"/>
  <c r="D21" i="7"/>
  <c r="D20" i="3"/>
  <c r="K20" i="7"/>
  <c r="K19" i="3"/>
  <c r="U20" i="6"/>
  <c r="V20" i="6"/>
  <c r="L20" i="1"/>
  <c r="C22" i="1"/>
  <c r="C22" i="6"/>
  <c r="D22" i="6"/>
  <c r="H19" i="6"/>
  <c r="E19" i="1"/>
  <c r="G19" i="6"/>
  <c r="O17" i="1"/>
  <c r="P17" i="1" s="1"/>
  <c r="AA17" i="6"/>
  <c r="AB17" i="6" s="1"/>
  <c r="J18" i="6"/>
  <c r="F18" i="1"/>
  <c r="R19" i="6"/>
  <c r="Q19" i="6"/>
  <c r="J19" i="1"/>
  <c r="K19" i="1"/>
  <c r="T19" i="6"/>
  <c r="S19" i="6"/>
  <c r="F19" i="6"/>
  <c r="D19" i="1"/>
  <c r="E19" i="6"/>
  <c r="G18" i="1"/>
  <c r="L18" i="6"/>
  <c r="K18" i="6"/>
  <c r="H19" i="1"/>
  <c r="N19" i="6"/>
  <c r="M19" i="6"/>
  <c r="Y18" i="6"/>
  <c r="N18" i="1"/>
  <c r="Z18" i="6"/>
  <c r="I21" i="1"/>
  <c r="O21" i="6"/>
  <c r="P21" i="6"/>
  <c r="M21" i="1"/>
  <c r="W21" i="6"/>
  <c r="X21" i="6"/>
  <c r="O19" i="3" l="1"/>
  <c r="O20" i="7"/>
  <c r="K21" i="7"/>
  <c r="K20" i="3"/>
  <c r="N21" i="7"/>
  <c r="N20" i="3"/>
  <c r="M21" i="7"/>
  <c r="M20" i="3"/>
  <c r="J21" i="7"/>
  <c r="J20" i="3"/>
  <c r="I21" i="7"/>
  <c r="I20" i="3"/>
  <c r="C22" i="7"/>
  <c r="C21" i="3"/>
  <c r="D22" i="7"/>
  <c r="D21" i="3"/>
  <c r="G21" i="7"/>
  <c r="G20" i="3"/>
  <c r="E21" i="7"/>
  <c r="E20" i="3"/>
  <c r="L21" i="7"/>
  <c r="L20" i="3"/>
  <c r="F21" i="7"/>
  <c r="F20" i="3"/>
  <c r="H21" i="7"/>
  <c r="H20" i="3"/>
  <c r="U21" i="6"/>
  <c r="V21" i="6"/>
  <c r="L21" i="1"/>
  <c r="C23" i="6"/>
  <c r="C23" i="1"/>
  <c r="D23" i="6"/>
  <c r="H20" i="6"/>
  <c r="E20" i="1"/>
  <c r="G20" i="6"/>
  <c r="O18" i="1"/>
  <c r="P18" i="1" s="1"/>
  <c r="AA18" i="6"/>
  <c r="AB18" i="6" s="1"/>
  <c r="I19" i="6"/>
  <c r="L19" i="6"/>
  <c r="K19" i="6"/>
  <c r="G19" i="1"/>
  <c r="S20" i="6"/>
  <c r="K20" i="1"/>
  <c r="T20" i="6"/>
  <c r="J19" i="6"/>
  <c r="F19" i="1"/>
  <c r="I20" i="6" s="1"/>
  <c r="Y19" i="6"/>
  <c r="N19" i="1"/>
  <c r="Z19" i="6"/>
  <c r="M20" i="6"/>
  <c r="H20" i="1"/>
  <c r="N20" i="6"/>
  <c r="D20" i="1"/>
  <c r="F20" i="6"/>
  <c r="E20" i="6"/>
  <c r="J20" i="1"/>
  <c r="R20" i="6"/>
  <c r="Q20" i="6"/>
  <c r="I22" i="1"/>
  <c r="O22" i="6"/>
  <c r="P22" i="6"/>
  <c r="M22" i="1"/>
  <c r="W22" i="6"/>
  <c r="X22" i="6"/>
  <c r="O21" i="7" l="1"/>
  <c r="O20" i="3"/>
  <c r="H22" i="7"/>
  <c r="H21" i="3"/>
  <c r="L22" i="7"/>
  <c r="L21" i="3"/>
  <c r="G22" i="7"/>
  <c r="G21" i="3"/>
  <c r="C23" i="7"/>
  <c r="C22" i="3"/>
  <c r="J22" i="7"/>
  <c r="J21" i="3"/>
  <c r="N22" i="7"/>
  <c r="N21" i="3"/>
  <c r="F22" i="7"/>
  <c r="F21" i="3"/>
  <c r="E22" i="7"/>
  <c r="E21" i="3"/>
  <c r="D23" i="7"/>
  <c r="D22" i="3"/>
  <c r="I22" i="7"/>
  <c r="I21" i="3"/>
  <c r="M22" i="7"/>
  <c r="M21" i="3"/>
  <c r="K22" i="7"/>
  <c r="K21" i="3"/>
  <c r="L22" i="1"/>
  <c r="U22" i="6"/>
  <c r="V22" i="6"/>
  <c r="D24" i="6"/>
  <c r="C24" i="1"/>
  <c r="C24" i="6"/>
  <c r="E21" i="1"/>
  <c r="G21" i="6"/>
  <c r="H21" i="6"/>
  <c r="O19" i="1"/>
  <c r="P19" i="1" s="1"/>
  <c r="AA19" i="6"/>
  <c r="AB19" i="6" s="1"/>
  <c r="H21" i="1"/>
  <c r="M21" i="6"/>
  <c r="N21" i="6"/>
  <c r="Q21" i="6"/>
  <c r="J21" i="1"/>
  <c r="R21" i="6"/>
  <c r="F20" i="1"/>
  <c r="I21" i="6" s="1"/>
  <c r="J20" i="6"/>
  <c r="E21" i="6"/>
  <c r="D21" i="1"/>
  <c r="F21" i="6"/>
  <c r="K20" i="6"/>
  <c r="L20" i="6"/>
  <c r="G20" i="1"/>
  <c r="Z20" i="6"/>
  <c r="N20" i="1"/>
  <c r="Y20" i="6"/>
  <c r="K21" i="1"/>
  <c r="T21" i="6"/>
  <c r="S21" i="6"/>
  <c r="M23" i="1"/>
  <c r="W23" i="6"/>
  <c r="X23" i="6"/>
  <c r="I23" i="1"/>
  <c r="O23" i="6"/>
  <c r="P23" i="6"/>
  <c r="O22" i="7" l="1"/>
  <c r="O21" i="3"/>
  <c r="K23" i="7"/>
  <c r="K22" i="3"/>
  <c r="I23" i="7"/>
  <c r="I22" i="3"/>
  <c r="E23" i="7"/>
  <c r="E22" i="3"/>
  <c r="N23" i="7"/>
  <c r="N22" i="3"/>
  <c r="C24" i="7"/>
  <c r="C23" i="3"/>
  <c r="L23" i="7"/>
  <c r="L22" i="3"/>
  <c r="M23" i="7"/>
  <c r="M22" i="3"/>
  <c r="D24" i="7"/>
  <c r="D23" i="3"/>
  <c r="F23" i="7"/>
  <c r="F22" i="3"/>
  <c r="J23" i="7"/>
  <c r="J22" i="3"/>
  <c r="G23" i="7"/>
  <c r="G22" i="3"/>
  <c r="H23" i="7"/>
  <c r="H22" i="3"/>
  <c r="V23" i="6"/>
  <c r="U23" i="6"/>
  <c r="L23" i="1"/>
  <c r="C25" i="6"/>
  <c r="C25" i="1"/>
  <c r="D25" i="6"/>
  <c r="H22" i="6"/>
  <c r="E22" i="1"/>
  <c r="G22" i="6"/>
  <c r="AA20" i="6"/>
  <c r="AB20" i="6" s="1"/>
  <c r="O20" i="1"/>
  <c r="P20" i="1" s="1"/>
  <c r="S22" i="6"/>
  <c r="K22" i="1"/>
  <c r="T22" i="6"/>
  <c r="R22" i="6"/>
  <c r="Q22" i="6"/>
  <c r="J22" i="1"/>
  <c r="K21" i="6"/>
  <c r="G21" i="1"/>
  <c r="L21" i="6"/>
  <c r="Z21" i="6"/>
  <c r="N21" i="1"/>
  <c r="Y21" i="6"/>
  <c r="E22" i="6"/>
  <c r="D22" i="1"/>
  <c r="F22" i="6"/>
  <c r="J21" i="6"/>
  <c r="F21" i="1"/>
  <c r="H22" i="1"/>
  <c r="N22" i="6"/>
  <c r="M22" i="6"/>
  <c r="I24" i="1"/>
  <c r="O24" i="6"/>
  <c r="P24" i="6"/>
  <c r="M24" i="1"/>
  <c r="W24" i="6"/>
  <c r="X24" i="6"/>
  <c r="O23" i="7" l="1"/>
  <c r="O22" i="3"/>
  <c r="H24" i="7"/>
  <c r="H23" i="3"/>
  <c r="J24" i="7"/>
  <c r="J23" i="3"/>
  <c r="D25" i="7"/>
  <c r="D24" i="3"/>
  <c r="L24" i="7"/>
  <c r="L23" i="3"/>
  <c r="N24" i="7"/>
  <c r="N23" i="3"/>
  <c r="I24" i="7"/>
  <c r="I23" i="3"/>
  <c r="G24" i="7"/>
  <c r="G23" i="3"/>
  <c r="F24" i="7"/>
  <c r="F23" i="3"/>
  <c r="M24" i="7"/>
  <c r="M23" i="3"/>
  <c r="C25" i="7"/>
  <c r="C24" i="3"/>
  <c r="E24" i="7"/>
  <c r="E23" i="3"/>
  <c r="O23" i="3" s="1"/>
  <c r="K24" i="7"/>
  <c r="K23" i="3"/>
  <c r="U24" i="6"/>
  <c r="V24" i="6"/>
  <c r="L24" i="1"/>
  <c r="C26" i="1"/>
  <c r="C26" i="6"/>
  <c r="D26" i="6"/>
  <c r="H23" i="6"/>
  <c r="E23" i="1"/>
  <c r="G23" i="6"/>
  <c r="AA21" i="6"/>
  <c r="AB21" i="6" s="1"/>
  <c r="J22" i="6"/>
  <c r="F22" i="1"/>
  <c r="I23" i="6" s="1"/>
  <c r="O21" i="1"/>
  <c r="P21" i="1" s="1"/>
  <c r="M23" i="6"/>
  <c r="N23" i="6"/>
  <c r="H23" i="1"/>
  <c r="D23" i="1"/>
  <c r="E23" i="6"/>
  <c r="F23" i="6"/>
  <c r="K23" i="1"/>
  <c r="T23" i="6"/>
  <c r="S23" i="6"/>
  <c r="Y22" i="6"/>
  <c r="N22" i="1"/>
  <c r="Z22" i="6"/>
  <c r="I22" i="6"/>
  <c r="G22" i="1"/>
  <c r="K22" i="6"/>
  <c r="L22" i="6"/>
  <c r="Q23" i="6"/>
  <c r="J23" i="1"/>
  <c r="R23" i="6"/>
  <c r="M25" i="1"/>
  <c r="W25" i="6"/>
  <c r="X25" i="6"/>
  <c r="I25" i="1"/>
  <c r="O25" i="6"/>
  <c r="P25" i="6"/>
  <c r="L25" i="7" l="1"/>
  <c r="L24" i="3"/>
  <c r="K25" i="7"/>
  <c r="K24" i="3"/>
  <c r="C26" i="7"/>
  <c r="C25" i="3"/>
  <c r="F25" i="7"/>
  <c r="F24" i="3"/>
  <c r="I25" i="7"/>
  <c r="I24" i="3"/>
  <c r="E25" i="7"/>
  <c r="E24" i="3"/>
  <c r="M25" i="7"/>
  <c r="M24" i="3"/>
  <c r="G25" i="7"/>
  <c r="G24" i="3"/>
  <c r="J25" i="7"/>
  <c r="J24" i="3"/>
  <c r="O24" i="7"/>
  <c r="N25" i="7"/>
  <c r="N24" i="3"/>
  <c r="D26" i="7"/>
  <c r="D25" i="3"/>
  <c r="H25" i="7"/>
  <c r="H24" i="3"/>
  <c r="V25" i="6"/>
  <c r="U25" i="6"/>
  <c r="L25" i="1"/>
  <c r="C27" i="6"/>
  <c r="C27" i="1"/>
  <c r="D27" i="6"/>
  <c r="H24" i="6"/>
  <c r="E24" i="1"/>
  <c r="G24" i="6"/>
  <c r="AA22" i="6"/>
  <c r="AB22" i="6" s="1"/>
  <c r="J23" i="6"/>
  <c r="F23" i="1"/>
  <c r="I24" i="6" s="1"/>
  <c r="Q24" i="6"/>
  <c r="R24" i="6"/>
  <c r="J24" i="1"/>
  <c r="Y23" i="6"/>
  <c r="Z23" i="6"/>
  <c r="N23" i="1"/>
  <c r="K24" i="1"/>
  <c r="T24" i="6"/>
  <c r="S24" i="6"/>
  <c r="M24" i="6"/>
  <c r="H24" i="1"/>
  <c r="N24" i="6"/>
  <c r="O22" i="1"/>
  <c r="P22" i="1" s="1"/>
  <c r="D24" i="1"/>
  <c r="E24" i="6"/>
  <c r="F24" i="6"/>
  <c r="G23" i="1"/>
  <c r="L23" i="6"/>
  <c r="K23" i="6"/>
  <c r="I26" i="1"/>
  <c r="O26" i="6"/>
  <c r="P26" i="6"/>
  <c r="M26" i="1"/>
  <c r="W26" i="6"/>
  <c r="X26" i="6"/>
  <c r="O24" i="3" l="1"/>
  <c r="E26" i="7"/>
  <c r="E25" i="3"/>
  <c r="F26" i="7"/>
  <c r="F25" i="3"/>
  <c r="D27" i="7"/>
  <c r="D26" i="3"/>
  <c r="G26" i="7"/>
  <c r="G25" i="3"/>
  <c r="K26" i="7"/>
  <c r="K25" i="3"/>
  <c r="O25" i="7"/>
  <c r="H26" i="7"/>
  <c r="H25" i="3"/>
  <c r="N26" i="7"/>
  <c r="N25" i="3"/>
  <c r="J26" i="7"/>
  <c r="J25" i="3"/>
  <c r="M26" i="7"/>
  <c r="M25" i="3"/>
  <c r="I26" i="7"/>
  <c r="I25" i="3"/>
  <c r="C27" i="7"/>
  <c r="C26" i="3"/>
  <c r="L26" i="7"/>
  <c r="L25" i="3"/>
  <c r="L26" i="1"/>
  <c r="V26" i="6"/>
  <c r="U26" i="6"/>
  <c r="D28" i="6"/>
  <c r="C28" i="1"/>
  <c r="C28" i="6"/>
  <c r="E25" i="1"/>
  <c r="G25" i="6"/>
  <c r="H25" i="6"/>
  <c r="AA23" i="6"/>
  <c r="AB23" i="6" s="1"/>
  <c r="Y24" i="6"/>
  <c r="N24" i="1"/>
  <c r="Z24" i="6"/>
  <c r="J24" i="6"/>
  <c r="F24" i="1"/>
  <c r="G24" i="1"/>
  <c r="L24" i="6"/>
  <c r="K24" i="6"/>
  <c r="M25" i="6"/>
  <c r="H25" i="1"/>
  <c r="N25" i="6"/>
  <c r="K25" i="1"/>
  <c r="T25" i="6"/>
  <c r="S25" i="6"/>
  <c r="R25" i="6"/>
  <c r="Q25" i="6"/>
  <c r="J25" i="1"/>
  <c r="F25" i="6"/>
  <c r="D25" i="1"/>
  <c r="E25" i="6"/>
  <c r="O23" i="1"/>
  <c r="P23" i="1" s="1"/>
  <c r="M27" i="1"/>
  <c r="W27" i="6"/>
  <c r="X27" i="6"/>
  <c r="I27" i="1"/>
  <c r="O27" i="6"/>
  <c r="P27" i="6"/>
  <c r="O25" i="3" l="1"/>
  <c r="G27" i="7"/>
  <c r="G26" i="3"/>
  <c r="C28" i="7"/>
  <c r="C27" i="3"/>
  <c r="N27" i="7"/>
  <c r="N26" i="3"/>
  <c r="K27" i="7"/>
  <c r="K26" i="3"/>
  <c r="D28" i="7"/>
  <c r="D27" i="3"/>
  <c r="M27" i="7"/>
  <c r="M26" i="3"/>
  <c r="F27" i="7"/>
  <c r="F26" i="3"/>
  <c r="O26" i="7"/>
  <c r="L27" i="7"/>
  <c r="L26" i="3"/>
  <c r="I27" i="7"/>
  <c r="I26" i="3"/>
  <c r="J27" i="7"/>
  <c r="J26" i="3"/>
  <c r="H27" i="7"/>
  <c r="H26" i="3"/>
  <c r="E27" i="7"/>
  <c r="E26" i="3"/>
  <c r="V27" i="6"/>
  <c r="L27" i="1"/>
  <c r="U27" i="6"/>
  <c r="C29" i="6"/>
  <c r="C29" i="1"/>
  <c r="D29" i="6"/>
  <c r="H26" i="6"/>
  <c r="E26" i="1"/>
  <c r="G26" i="6"/>
  <c r="AA24" i="6"/>
  <c r="AB24" i="6" s="1"/>
  <c r="O24" i="1"/>
  <c r="P24" i="1" s="1"/>
  <c r="I25" i="6"/>
  <c r="S26" i="6"/>
  <c r="K26" i="1"/>
  <c r="T26" i="6"/>
  <c r="Y25" i="6"/>
  <c r="Z25" i="6"/>
  <c r="N25" i="1"/>
  <c r="E26" i="6"/>
  <c r="D26" i="1"/>
  <c r="F26" i="6"/>
  <c r="J25" i="6"/>
  <c r="F25" i="1"/>
  <c r="K25" i="6"/>
  <c r="G25" i="1"/>
  <c r="L25" i="6"/>
  <c r="R26" i="6"/>
  <c r="J26" i="1"/>
  <c r="Q26" i="6"/>
  <c r="H26" i="1"/>
  <c r="N26" i="6"/>
  <c r="M26" i="6"/>
  <c r="M28" i="1"/>
  <c r="W28" i="6"/>
  <c r="X28" i="6"/>
  <c r="I28" i="1"/>
  <c r="O28" i="6"/>
  <c r="P28" i="6"/>
  <c r="O27" i="7" l="1"/>
  <c r="O26" i="3"/>
  <c r="M28" i="7"/>
  <c r="M27" i="3"/>
  <c r="K28" i="7"/>
  <c r="K27" i="3"/>
  <c r="C29" i="7"/>
  <c r="C28" i="3"/>
  <c r="H28" i="7"/>
  <c r="H27" i="3"/>
  <c r="I28" i="7"/>
  <c r="I27" i="3"/>
  <c r="F28" i="7"/>
  <c r="F27" i="3"/>
  <c r="D29" i="7"/>
  <c r="D28" i="3"/>
  <c r="N28" i="7"/>
  <c r="N27" i="3"/>
  <c r="G28" i="7"/>
  <c r="G27" i="3"/>
  <c r="E28" i="7"/>
  <c r="E27" i="3"/>
  <c r="J28" i="7"/>
  <c r="J27" i="3"/>
  <c r="L28" i="7"/>
  <c r="L27" i="3"/>
  <c r="O25" i="1"/>
  <c r="P25" i="1" s="1"/>
  <c r="U28" i="6"/>
  <c r="V28" i="6"/>
  <c r="L28" i="1"/>
  <c r="I26" i="6"/>
  <c r="D30" i="6"/>
  <c r="C30" i="1"/>
  <c r="C30" i="6"/>
  <c r="H27" i="6"/>
  <c r="E27" i="1"/>
  <c r="G27" i="6"/>
  <c r="AA25" i="6"/>
  <c r="AB25" i="6" s="1"/>
  <c r="D27" i="1"/>
  <c r="E27" i="6"/>
  <c r="F27" i="6"/>
  <c r="K27" i="1"/>
  <c r="S27" i="6"/>
  <c r="T27" i="6"/>
  <c r="H27" i="1"/>
  <c r="N27" i="6"/>
  <c r="M27" i="6"/>
  <c r="Q27" i="6"/>
  <c r="R27" i="6"/>
  <c r="J27" i="1"/>
  <c r="G26" i="1"/>
  <c r="K26" i="6"/>
  <c r="L26" i="6"/>
  <c r="J26" i="6"/>
  <c r="F26" i="1"/>
  <c r="I27" i="6" s="1"/>
  <c r="N26" i="1"/>
  <c r="Z26" i="6"/>
  <c r="Y26" i="6"/>
  <c r="M29" i="1"/>
  <c r="W29" i="6"/>
  <c r="X29" i="6"/>
  <c r="I29" i="1"/>
  <c r="O29" i="6"/>
  <c r="P29" i="6"/>
  <c r="O28" i="7" l="1"/>
  <c r="O27" i="3"/>
  <c r="L29" i="7"/>
  <c r="L28" i="3"/>
  <c r="E29" i="7"/>
  <c r="E28" i="3"/>
  <c r="N29" i="7"/>
  <c r="N28" i="3"/>
  <c r="F29" i="7"/>
  <c r="F28" i="3"/>
  <c r="H29" i="7"/>
  <c r="H28" i="3"/>
  <c r="K29" i="7"/>
  <c r="K28" i="3"/>
  <c r="J29" i="7"/>
  <c r="J28" i="3"/>
  <c r="G29" i="7"/>
  <c r="G28" i="3"/>
  <c r="D30" i="7"/>
  <c r="D29" i="3"/>
  <c r="I29" i="7"/>
  <c r="I28" i="3"/>
  <c r="C30" i="7"/>
  <c r="C29" i="3"/>
  <c r="M29" i="7"/>
  <c r="M28" i="3"/>
  <c r="L29" i="1"/>
  <c r="U29" i="6"/>
  <c r="V29" i="6"/>
  <c r="C31" i="6"/>
  <c r="D31" i="6"/>
  <c r="H28" i="6"/>
  <c r="E28" i="1"/>
  <c r="G28" i="6"/>
  <c r="AA26" i="6"/>
  <c r="AB26" i="6" s="1"/>
  <c r="O26" i="1"/>
  <c r="P26" i="1" s="1"/>
  <c r="K28" i="1"/>
  <c r="T28" i="6"/>
  <c r="S28" i="6"/>
  <c r="N27" i="1"/>
  <c r="Y27" i="6"/>
  <c r="Z27" i="6"/>
  <c r="G27" i="1"/>
  <c r="L27" i="6"/>
  <c r="K27" i="6"/>
  <c r="R28" i="6"/>
  <c r="J28" i="1"/>
  <c r="Q28" i="6"/>
  <c r="H28" i="1"/>
  <c r="M28" i="6"/>
  <c r="N28" i="6"/>
  <c r="F27" i="1"/>
  <c r="I28" i="6" s="1"/>
  <c r="J27" i="6"/>
  <c r="F28" i="6"/>
  <c r="D28" i="1"/>
  <c r="E28" i="6"/>
  <c r="M30" i="1"/>
  <c r="W30" i="6"/>
  <c r="X30" i="6"/>
  <c r="I30" i="1"/>
  <c r="O30" i="6"/>
  <c r="P30" i="6"/>
  <c r="O29" i="7" l="1"/>
  <c r="O28" i="3"/>
  <c r="M30" i="7"/>
  <c r="M29" i="3"/>
  <c r="I30" i="7"/>
  <c r="I29" i="3"/>
  <c r="G30" i="7"/>
  <c r="G29" i="3"/>
  <c r="K30" i="7"/>
  <c r="K29" i="3"/>
  <c r="F30" i="7"/>
  <c r="F29" i="3"/>
  <c r="E30" i="7"/>
  <c r="E29" i="3"/>
  <c r="C31" i="7"/>
  <c r="C30" i="3"/>
  <c r="D31" i="7"/>
  <c r="D32" i="7" s="1"/>
  <c r="D30" i="3"/>
  <c r="J30" i="7"/>
  <c r="J29" i="3"/>
  <c r="H30" i="7"/>
  <c r="H29" i="3"/>
  <c r="N30" i="7"/>
  <c r="N29" i="3"/>
  <c r="L30" i="7"/>
  <c r="L29" i="3"/>
  <c r="V30" i="6"/>
  <c r="L30" i="1"/>
  <c r="U30" i="6"/>
  <c r="O27" i="1"/>
  <c r="P27" i="1" s="1"/>
  <c r="H29" i="6"/>
  <c r="G29" i="6"/>
  <c r="E29" i="1"/>
  <c r="AA27" i="6"/>
  <c r="AB27" i="6" s="1"/>
  <c r="F29" i="6"/>
  <c r="D29" i="1"/>
  <c r="E29" i="6"/>
  <c r="K28" i="6"/>
  <c r="G28" i="1"/>
  <c r="L28" i="6"/>
  <c r="N28" i="1"/>
  <c r="Y28" i="6"/>
  <c r="Z28" i="6"/>
  <c r="J28" i="6"/>
  <c r="F28" i="1"/>
  <c r="I29" i="6" s="1"/>
  <c r="J29" i="1"/>
  <c r="Q29" i="6"/>
  <c r="R29" i="6"/>
  <c r="H29" i="1"/>
  <c r="M29" i="6"/>
  <c r="N29" i="6"/>
  <c r="S29" i="6"/>
  <c r="K29" i="1"/>
  <c r="T29" i="6"/>
  <c r="O31" i="6"/>
  <c r="P31" i="6"/>
  <c r="W31" i="6"/>
  <c r="X31" i="6"/>
  <c r="O29" i="3" l="1"/>
  <c r="L31" i="7"/>
  <c r="L32" i="7" s="1"/>
  <c r="L30" i="3"/>
  <c r="H31" i="7"/>
  <c r="H32" i="7" s="1"/>
  <c r="H30" i="3"/>
  <c r="E31" i="7"/>
  <c r="E32" i="7" s="1"/>
  <c r="E30" i="3"/>
  <c r="O30" i="7"/>
  <c r="K31" i="7"/>
  <c r="K32" i="7" s="1"/>
  <c r="K30" i="3"/>
  <c r="I31" i="7"/>
  <c r="I32" i="7" s="1"/>
  <c r="I30" i="3"/>
  <c r="N31" i="7"/>
  <c r="N32" i="7" s="1"/>
  <c r="N30" i="3"/>
  <c r="J31" i="7"/>
  <c r="J32" i="7" s="1"/>
  <c r="J30" i="3"/>
  <c r="C32" i="7"/>
  <c r="F31" i="7"/>
  <c r="F32" i="7" s="1"/>
  <c r="F30" i="3"/>
  <c r="G31" i="7"/>
  <c r="G32" i="7" s="1"/>
  <c r="G30" i="3"/>
  <c r="M31" i="7"/>
  <c r="M32" i="7" s="1"/>
  <c r="M30" i="3"/>
  <c r="V31" i="6"/>
  <c r="U31" i="6"/>
  <c r="E30" i="1"/>
  <c r="G30" i="6"/>
  <c r="H30" i="6"/>
  <c r="O28" i="1"/>
  <c r="P28" i="1" s="1"/>
  <c r="AA28" i="6"/>
  <c r="AB28" i="6" s="1"/>
  <c r="H30" i="1"/>
  <c r="N30" i="6"/>
  <c r="M30" i="6"/>
  <c r="F29" i="1"/>
  <c r="I30" i="6" s="1"/>
  <c r="J29" i="6"/>
  <c r="Y29" i="6"/>
  <c r="Z29" i="6"/>
  <c r="N29" i="1"/>
  <c r="K29" i="6"/>
  <c r="G29" i="1"/>
  <c r="L29" i="6"/>
  <c r="J30" i="1"/>
  <c r="R30" i="6"/>
  <c r="Q30" i="6"/>
  <c r="K30" i="1"/>
  <c r="S30" i="6"/>
  <c r="T30" i="6"/>
  <c r="F30" i="6"/>
  <c r="E30" i="6"/>
  <c r="D30" i="1"/>
  <c r="O30" i="3" l="1"/>
  <c r="O31" i="7"/>
  <c r="O32" i="7"/>
  <c r="H31" i="6"/>
  <c r="G31" i="6"/>
  <c r="AA29" i="6"/>
  <c r="AB29" i="6" s="1"/>
  <c r="O29" i="1"/>
  <c r="P29" i="1" s="1"/>
  <c r="L30" i="6"/>
  <c r="G30" i="1"/>
  <c r="K30" i="6"/>
  <c r="T31" i="6"/>
  <c r="S31" i="6"/>
  <c r="F30" i="1"/>
  <c r="I31" i="6" s="1"/>
  <c r="J30" i="6"/>
  <c r="M31" i="6"/>
  <c r="N31" i="6"/>
  <c r="F31" i="6"/>
  <c r="E31" i="6"/>
  <c r="Q31" i="6"/>
  <c r="R31" i="6"/>
  <c r="Z30" i="6"/>
  <c r="N30" i="1"/>
  <c r="Y30" i="6"/>
  <c r="AA30" i="6" l="1"/>
  <c r="AB30" i="6" s="1"/>
  <c r="O30" i="1"/>
  <c r="P30" i="1" s="1"/>
  <c r="K31" i="6"/>
  <c r="L31" i="6"/>
  <c r="Z31" i="6"/>
  <c r="Y31" i="6"/>
  <c r="J31" i="6"/>
  <c r="AA31" i="6" l="1"/>
  <c r="AB31" i="6" s="1"/>
</calcChain>
</file>

<file path=xl/sharedStrings.xml><?xml version="1.0" encoding="utf-8"?>
<sst xmlns="http://schemas.openxmlformats.org/spreadsheetml/2006/main" count="298" uniqueCount="130">
  <si>
    <t>TPDA</t>
  </si>
  <si>
    <t>AÑO</t>
  </si>
  <si>
    <t>ETAPA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</si>
  <si>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</si>
  <si>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</si>
  <si>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</si>
  <si>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</si>
  <si>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</si>
  <si>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</si>
  <si>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</si>
  <si>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</si>
  <si>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</si>
  <si>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</si>
  <si>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</si>
  <si>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</si>
  <si>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TPDS</t>
  </si>
  <si>
    <r>
      <t>f</t>
    </r>
    <r>
      <rPr>
        <b/>
        <i/>
        <vertAlign val="subscript"/>
        <sz val="9"/>
        <color theme="0"/>
        <rFont val="Arial"/>
        <family val="2"/>
      </rPr>
      <t>e</t>
    </r>
  </si>
  <si>
    <t>TESA</t>
  </si>
  <si>
    <t>LICT.</t>
  </si>
  <si>
    <t>CONST.</t>
  </si>
  <si>
    <t>O P E R A C I O N</t>
  </si>
  <si>
    <t>REFERENCIAS</t>
  </si>
  <si>
    <t>T1: Automóviles, Vagonetas y Jeep</t>
  </si>
  <si>
    <t>T5: Buses Medianos dos ejes (22 a 35 asientos)</t>
  </si>
  <si>
    <t>T9: Camiones Grandes tres ejes (hasta 10 Ton)</t>
  </si>
  <si>
    <t>T2: Camionetas (Hasta 2 Ton)</t>
  </si>
  <si>
    <t>T6: Buses Grandes tres ejes (36 asientos o mas)</t>
  </si>
  <si>
    <t>T10: Camiones Semiremolque</t>
  </si>
  <si>
    <t>T3: Minibuses (7 a 15 asientos)</t>
  </si>
  <si>
    <t>T7: Camiones Medianos dos ejes (hasta 10 Ton)</t>
  </si>
  <si>
    <t>T10: Camiones Remolque</t>
  </si>
  <si>
    <t>T4: Microbuses dos ejes (16 a 21 asientos)</t>
  </si>
  <si>
    <t>T8: Camiones Grandes dos ejes</t>
  </si>
  <si>
    <t>T12: Otros Vehículos</t>
  </si>
  <si>
    <t>TIPO DE VEHÍCULO</t>
  </si>
  <si>
    <t>AUTOMÓVILES VAGONETAS Y JEEP</t>
  </si>
  <si>
    <t>CAMIONETAS</t>
  </si>
  <si>
    <t>MINIBUSES</t>
  </si>
  <si>
    <r>
      <t xml:space="preserve">MICROBUSES
</t>
    </r>
    <r>
      <rPr>
        <sz val="10"/>
        <rFont val="Arial"/>
        <family val="2"/>
      </rPr>
      <t>(DOS EJES)</t>
    </r>
  </si>
  <si>
    <r>
      <t xml:space="preserve">BÚS MEDIANO
</t>
    </r>
    <r>
      <rPr>
        <sz val="10"/>
        <rFont val="Arial"/>
        <family val="2"/>
      </rPr>
      <t>(DOS EJES)</t>
    </r>
  </si>
  <si>
    <r>
      <t xml:space="preserve">BÚS GRANDE 
</t>
    </r>
    <r>
      <rPr>
        <sz val="10"/>
        <rFont val="Arial"/>
        <family val="2"/>
      </rPr>
      <t>(DOS O MAS EJES)</t>
    </r>
  </si>
  <si>
    <r>
      <t xml:space="preserve">CAMIÓN MEDIANO
</t>
    </r>
    <r>
      <rPr>
        <sz val="10"/>
        <rFont val="Arial"/>
        <family val="2"/>
      </rPr>
      <t>(DOS EJES)</t>
    </r>
  </si>
  <si>
    <r>
      <t>CAMIÓN GRANDE
( DOS EJES</t>
    </r>
    <r>
      <rPr>
        <sz val="10"/>
        <rFont val="Arial"/>
        <family val="2"/>
      </rPr>
      <t>)</t>
    </r>
  </si>
  <si>
    <r>
      <t xml:space="preserve">CAMION GRANDE
</t>
    </r>
    <r>
      <rPr>
        <sz val="10"/>
        <rFont val="Arial"/>
        <family val="2"/>
      </rPr>
      <t>(TRES EJES)</t>
    </r>
  </si>
  <si>
    <t>CAMIÓN CON SEMIRREMOLQUE</t>
  </si>
  <si>
    <t>CAMION CON
REMOLQUE</t>
  </si>
  <si>
    <t>MOTOCICLETAS</t>
  </si>
  <si>
    <t>OTROS VEHICULOS</t>
  </si>
  <si>
    <t>TOTAL</t>
  </si>
  <si>
    <t>Sabado</t>
  </si>
  <si>
    <t>Domingo</t>
  </si>
  <si>
    <t>Lunes</t>
  </si>
  <si>
    <t>Martes</t>
  </si>
  <si>
    <t>Miércoles</t>
  </si>
  <si>
    <t>Jueves</t>
  </si>
  <si>
    <t>Viernes</t>
  </si>
  <si>
    <t>HORA         DE - A</t>
  </si>
  <si>
    <t>PORCENTAJE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</si>
  <si>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</si>
  <si>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</si>
  <si>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</si>
  <si>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</si>
  <si>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</si>
  <si>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</si>
  <si>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</si>
  <si>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</si>
  <si>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</si>
  <si>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</si>
  <si>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</si>
  <si>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</si>
  <si>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</si>
  <si>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</si>
  <si>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</si>
  <si>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</si>
  <si>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</si>
  <si>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</si>
  <si>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</si>
  <si>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</si>
  <si>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</si>
  <si>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</si>
  <si>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</si>
  <si>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</si>
  <si>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(%)</t>
  </si>
  <si>
    <t>PROMEDIO</t>
  </si>
  <si>
    <t xml:space="preserve">AÑO </t>
  </si>
  <si>
    <t xml:space="preserve">                                         </t>
  </si>
  <si>
    <t>t</t>
  </si>
  <si>
    <t>EP</t>
  </si>
  <si>
    <t>T11: Camiones Remolque</t>
  </si>
  <si>
    <t>T9: Camiones Grandes tres ejes (hasta 15 Ton)</t>
  </si>
  <si>
    <t>ESAL's</t>
  </si>
  <si>
    <t>EDTP</t>
  </si>
  <si>
    <t>LICIT</t>
  </si>
  <si>
    <t>%</t>
  </si>
  <si>
    <t>FACTOR EE</t>
  </si>
  <si>
    <t>N°</t>
  </si>
  <si>
    <t>VEHÍCULOS</t>
  </si>
  <si>
    <r>
      <t>f</t>
    </r>
    <r>
      <rPr>
        <b/>
        <vertAlign val="subscript"/>
        <sz val="18"/>
        <color rgb="FFFFFFFF"/>
        <rFont val="Calibri"/>
        <family val="2"/>
      </rPr>
      <t>e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</si>
  <si>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</si>
  <si>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</si>
  <si>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</si>
  <si>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</si>
  <si>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</si>
  <si>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</si>
  <si>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</si>
  <si>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</si>
  <si>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</si>
  <si>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</si>
  <si>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</si>
  <si>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</si>
  <si>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FINANC.</t>
  </si>
  <si>
    <t>0.2X10E6</t>
  </si>
  <si>
    <t>hora pico ??</t>
  </si>
  <si>
    <t>HORA     
DE - A</t>
  </si>
  <si>
    <r>
      <t xml:space="preserve">MICROBUSES
</t>
    </r>
    <r>
      <rPr>
        <sz val="8"/>
        <rFont val="Arial"/>
        <family val="2"/>
      </rPr>
      <t>(DOS EJES)</t>
    </r>
  </si>
  <si>
    <r>
      <t xml:space="preserve">BÚS MEDIANO
</t>
    </r>
    <r>
      <rPr>
        <sz val="8"/>
        <rFont val="Arial"/>
        <family val="2"/>
      </rPr>
      <t>(DOS EJES)</t>
    </r>
  </si>
  <si>
    <r>
      <t xml:space="preserve">BÚS GRANDE 
</t>
    </r>
    <r>
      <rPr>
        <sz val="8"/>
        <rFont val="Arial"/>
        <family val="2"/>
      </rPr>
      <t>(DOS O MAS EJES)</t>
    </r>
  </si>
  <si>
    <r>
      <t xml:space="preserve">CAMIÓN MEDIANO
</t>
    </r>
    <r>
      <rPr>
        <sz val="8"/>
        <rFont val="Arial"/>
        <family val="2"/>
      </rPr>
      <t>(DOS EJES)</t>
    </r>
  </si>
  <si>
    <r>
      <t>CAMIÓN GRANDE
( DOS EJES</t>
    </r>
    <r>
      <rPr>
        <sz val="8"/>
        <rFont val="Arial"/>
        <family val="2"/>
      </rPr>
      <t>)</t>
    </r>
  </si>
  <si>
    <r>
      <t xml:space="preserve">CAMION GRANDE
</t>
    </r>
    <r>
      <rPr>
        <sz val="8"/>
        <rFont val="Arial"/>
        <family val="2"/>
      </rPr>
      <t>(TRES EJES)</t>
    </r>
  </si>
  <si>
    <t xml:space="preserve">14:00:00 14:15:00 </t>
  </si>
  <si>
    <t>14:00:15 14:30:00</t>
  </si>
  <si>
    <t>14:30:00 14:45:00</t>
  </si>
  <si>
    <t>14:45:00 15:00:00</t>
  </si>
  <si>
    <t>NRO.</t>
  </si>
  <si>
    <t>LIVIANOS</t>
  </si>
  <si>
    <t>UTILITARIOS</t>
  </si>
  <si>
    <t>BUSES</t>
  </si>
  <si>
    <t>CAMIONES RIGIDOS</t>
  </si>
  <si>
    <t>CAMIONES ARTICULADOS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</si>
</sst>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9"/>
      <color theme="0"/>
      <name val="Arial"/>
      <family val="2"/>
    </font>
    <font>
      <b/>
      <i/>
      <sz val="9"/>
      <color theme="0"/>
      <name val="Arial"/>
      <family val="2"/>
    </font>
    <font>
      <b/>
      <i/>
      <vertAlign val="subscript"/>
      <sz val="9"/>
      <color theme="0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1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8"/>
      <color rgb="FFFFFFFF"/>
      <name val="Calibri"/>
      <family val="2"/>
    </font>
    <font>
      <b/>
      <vertAlign val="subscript"/>
      <sz val="18"/>
      <color rgb="FFFFFFFF"/>
      <name val="Calibri"/>
      <family val="2"/>
    </font>
    <font>
      <sz val="13.5"/>
      <color rgb="FF000000"/>
      <name val="Calibri"/>
      <family val="2"/>
    </font>
    <font>
      <sz val="18"/>
      <color rgb="FF000000"/>
      <name val="Calibri"/>
      <family val="2"/>
    </font>
    <font>
      <b/>
      <sz val="9"/>
      <color rgb="FFFFFF00"/>
      <name val="Arial"/>
      <family val="2"/>
    </font>
    <font>
      <b/>
      <sz val="9"/>
      <color rgb="FFFF0000"/>
      <name val="Arial"/>
      <family val="2"/>
    </font>
    <font>
      <b/>
      <sz val="9"/>
      <color rgb="FFFFFFFF"/>
      <name val="Ebrima"/>
    </font>
    <font>
      <sz val="10"/>
      <color rgb="FF000000"/>
      <name val="Calibri"/>
      <family val="2"/>
    </font>
    <font>
      <sz val="9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</fills>
  <borders count="49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/>
      <right style="medium">
        <color indexed="64"/>
      </right>
      <top/>
      <bottom/>
      <diagonal/>
    </border>
    <border>
      <left style="medium">
        <color rgb="FF5B9BD5"/>
      </left>
      <right style="medium">
        <color rgb="FFFFFFFF"/>
      </right>
      <top style="medium">
        <color rgb="FF5B9BD5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5B9BD5"/>
      </top>
      <bottom style="medium">
        <color rgb="FF5B9BD5"/>
      </bottom>
      <diagonal/>
    </border>
    <border>
      <left style="medium">
        <color rgb="FFFFFFFF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FFFFFF"/>
      </top>
      <bottom style="medium">
        <color rgb="FFFFFFFF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FFFFFF"/>
      </top>
      <bottom style="medium">
        <color rgb="FF5B9BD5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58">
    <xf numFmtId="0" fontId="0" fillId="0" borderId="0" xfId="0"/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10" fillId="3" borderId="1" xfId="0" applyFont="1" applyFill="1" applyBorder="1"/>
    <xf numFmtId="1" fontId="11" fillId="3" borderId="1" xfId="2" applyNumberFormat="1" applyFont="1" applyFill="1" applyBorder="1" applyAlignment="1">
      <alignment horizontal="center" vertical="center"/>
    </xf>
    <xf numFmtId="1" fontId="9" fillId="3" borderId="1" xfId="2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center" vertical="center"/>
    </xf>
    <xf numFmtId="2" fontId="7" fillId="2" borderId="1" xfId="2" applyNumberFormat="1" applyFont="1" applyFill="1" applyBorder="1" applyAlignment="1">
      <alignment horizontal="center" vertical="center"/>
    </xf>
    <xf numFmtId="0" fontId="15" fillId="0" borderId="0" xfId="0" applyFont="1"/>
    <xf numFmtId="0" fontId="13" fillId="0" borderId="2" xfId="0" applyFont="1" applyBorder="1" applyAlignment="1">
      <alignment horizontal="center" vertical="center" textRotation="90" wrapText="1"/>
    </xf>
    <xf numFmtId="0" fontId="16" fillId="0" borderId="3" xfId="0" applyFont="1" applyBorder="1" applyAlignment="1">
      <alignment horizontal="center" vertical="center" textRotation="90" wrapText="1"/>
    </xf>
    <xf numFmtId="0" fontId="13" fillId="0" borderId="4" xfId="0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 textRotation="90" wrapText="1"/>
    </xf>
    <xf numFmtId="1" fontId="19" fillId="0" borderId="8" xfId="0" quotePrefix="1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/>
    </xf>
    <xf numFmtId="9" fontId="19" fillId="0" borderId="10" xfId="1" applyFont="1" applyBorder="1"/>
    <xf numFmtId="1" fontId="19" fillId="0" borderId="11" xfId="0" quotePrefix="1" applyNumberFormat="1" applyFont="1" applyBorder="1" applyAlignment="1">
      <alignment horizontal="center"/>
    </xf>
    <xf numFmtId="1" fontId="19" fillId="0" borderId="12" xfId="0" quotePrefix="1" applyNumberFormat="1" applyFont="1" applyBorder="1" applyAlignment="1">
      <alignment horizontal="center"/>
    </xf>
    <xf numFmtId="1" fontId="16" fillId="0" borderId="13" xfId="0" applyNumberFormat="1" applyFont="1" applyBorder="1" applyAlignment="1">
      <alignment horizontal="center"/>
    </xf>
    <xf numFmtId="1" fontId="19" fillId="0" borderId="14" xfId="0" applyNumberFormat="1" applyFont="1" applyBorder="1" applyAlignment="1">
      <alignment horizontal="center"/>
    </xf>
    <xf numFmtId="9" fontId="19" fillId="0" borderId="14" xfId="1" applyFont="1" applyBorder="1"/>
    <xf numFmtId="1" fontId="16" fillId="0" borderId="5" xfId="0" applyNumberFormat="1" applyFont="1" applyBorder="1" applyAlignment="1">
      <alignment horizontal="center"/>
    </xf>
    <xf numFmtId="9" fontId="19" fillId="0" borderId="6" xfId="1" applyFont="1" applyBorder="1"/>
    <xf numFmtId="1" fontId="19" fillId="0" borderId="15" xfId="0" applyNumberFormat="1" applyFont="1" applyBorder="1"/>
    <xf numFmtId="1" fontId="0" fillId="0" borderId="0" xfId="0" applyNumberFormat="1"/>
    <xf numFmtId="0" fontId="13" fillId="0" borderId="3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1" fontId="6" fillId="2" borderId="1" xfId="2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7" fillId="2" borderId="1" xfId="2" applyNumberFormat="1" applyFont="1" applyFill="1" applyBorder="1" applyAlignment="1">
      <alignment horizontal="center" vertical="center"/>
    </xf>
    <xf numFmtId="1" fontId="12" fillId="3" borderId="0" xfId="0" applyNumberFormat="1" applyFont="1" applyFill="1" applyAlignment="1">
      <alignment vertical="center"/>
    </xf>
    <xf numFmtId="1" fontId="13" fillId="3" borderId="0" xfId="0" applyNumberFormat="1" applyFont="1" applyFill="1" applyAlignment="1">
      <alignment horizontal="left" vertical="center"/>
    </xf>
    <xf numFmtId="1" fontId="14" fillId="3" borderId="0" xfId="0" applyNumberFormat="1" applyFont="1" applyFill="1" applyAlignment="1">
      <alignment horizontal="left" vertical="center"/>
    </xf>
    <xf numFmtId="1" fontId="14" fillId="3" borderId="0" xfId="0" applyNumberFormat="1" applyFont="1" applyFill="1" applyAlignment="1">
      <alignment horizontal="center" vertical="center"/>
    </xf>
    <xf numFmtId="2" fontId="6" fillId="2" borderId="1" xfId="2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vertical="center"/>
    </xf>
    <xf numFmtId="4" fontId="6" fillId="2" borderId="1" xfId="2" applyNumberFormat="1" applyFont="1" applyFill="1" applyBorder="1" applyAlignment="1">
      <alignment horizontal="center" vertical="center"/>
    </xf>
    <xf numFmtId="4" fontId="0" fillId="0" borderId="0" xfId="0" applyNumberFormat="1"/>
    <xf numFmtId="4" fontId="2" fillId="2" borderId="1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4" fontId="7" fillId="2" borderId="1" xfId="2" applyNumberFormat="1" applyFont="1" applyFill="1" applyBorder="1" applyAlignment="1">
      <alignment horizontal="center" vertical="center"/>
    </xf>
    <xf numFmtId="4" fontId="9" fillId="3" borderId="1" xfId="2" applyNumberFormat="1" applyFont="1" applyFill="1" applyBorder="1" applyAlignment="1">
      <alignment horizontal="center" vertical="center"/>
    </xf>
    <xf numFmtId="4" fontId="10" fillId="3" borderId="1" xfId="0" applyNumberFormat="1" applyFont="1" applyFill="1" applyBorder="1"/>
    <xf numFmtId="4" fontId="11" fillId="3" borderId="1" xfId="2" applyNumberFormat="1" applyFont="1" applyFill="1" applyBorder="1" applyAlignment="1">
      <alignment horizontal="center" vertical="center"/>
    </xf>
    <xf numFmtId="4" fontId="12" fillId="3" borderId="0" xfId="0" applyNumberFormat="1" applyFont="1" applyFill="1" applyAlignment="1">
      <alignment vertical="center"/>
    </xf>
    <xf numFmtId="4" fontId="13" fillId="3" borderId="0" xfId="0" applyNumberFormat="1" applyFont="1" applyFill="1" applyAlignment="1">
      <alignment horizontal="left" vertical="center"/>
    </xf>
    <xf numFmtId="4" fontId="14" fillId="3" borderId="0" xfId="0" applyNumberFormat="1" applyFont="1" applyFill="1" applyAlignment="1">
      <alignment horizontal="left" vertical="center"/>
    </xf>
    <xf numFmtId="4" fontId="14" fillId="3" borderId="0" xfId="0" applyNumberFormat="1" applyFont="1" applyFill="1" applyAlignment="1">
      <alignment horizontal="center" vertical="center"/>
    </xf>
    <xf numFmtId="3" fontId="9" fillId="3" borderId="1" xfId="2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 textRotation="255" wrapText="1"/>
    </xf>
    <xf numFmtId="1" fontId="10" fillId="3" borderId="1" xfId="0" applyNumberFormat="1" applyFont="1" applyFill="1" applyBorder="1" applyAlignment="1">
      <alignment horizontal="center"/>
    </xf>
    <xf numFmtId="164" fontId="0" fillId="0" borderId="0" xfId="1" applyNumberFormat="1" applyFont="1"/>
    <xf numFmtId="10" fontId="0" fillId="0" borderId="0" xfId="1" applyNumberFormat="1" applyFont="1"/>
    <xf numFmtId="4" fontId="17" fillId="0" borderId="0" xfId="0" applyNumberFormat="1" applyFont="1" applyAlignment="1">
      <alignment horizontal="center" vertical="center"/>
    </xf>
    <xf numFmtId="4" fontId="22" fillId="4" borderId="0" xfId="0" applyNumberFormat="1" applyFont="1" applyFill="1" applyAlignment="1">
      <alignment horizontal="center" vertical="center"/>
    </xf>
    <xf numFmtId="4" fontId="23" fillId="5" borderId="0" xfId="0" applyNumberFormat="1" applyFont="1" applyFill="1" applyAlignment="1">
      <alignment horizontal="center" vertical="center"/>
    </xf>
    <xf numFmtId="4" fontId="24" fillId="6" borderId="0" xfId="0" applyNumberFormat="1" applyFont="1" applyFill="1" applyAlignment="1">
      <alignment horizontal="center" vertical="center"/>
    </xf>
    <xf numFmtId="4" fontId="17" fillId="7" borderId="0" xfId="0" applyNumberFormat="1" applyFont="1" applyFill="1" applyAlignment="1">
      <alignment horizontal="center" vertical="center"/>
    </xf>
    <xf numFmtId="9" fontId="6" fillId="2" borderId="20" xfId="1" applyFont="1" applyFill="1" applyBorder="1" applyAlignment="1">
      <alignment horizontal="center" vertical="center"/>
    </xf>
    <xf numFmtId="9" fontId="6" fillId="2" borderId="21" xfId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5" fillId="8" borderId="0" xfId="0" applyFont="1" applyFill="1"/>
    <xf numFmtId="0" fontId="25" fillId="5" borderId="0" xfId="0" applyFont="1" applyFill="1"/>
    <xf numFmtId="10" fontId="7" fillId="2" borderId="1" xfId="1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6" fillId="4" borderId="0" xfId="0" applyFont="1" applyFill="1"/>
    <xf numFmtId="1" fontId="17" fillId="9" borderId="4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textRotation="90" wrapText="1"/>
    </xf>
    <xf numFmtId="1" fontId="15" fillId="0" borderId="3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25" fillId="5" borderId="0" xfId="0" applyNumberFormat="1" applyFont="1" applyFill="1" applyAlignment="1">
      <alignment horizontal="center"/>
    </xf>
    <xf numFmtId="0" fontId="27" fillId="10" borderId="26" xfId="0" applyFont="1" applyFill="1" applyBorder="1" applyAlignment="1">
      <alignment horizontal="center" vertical="center" wrapText="1" readingOrder="1"/>
    </xf>
    <xf numFmtId="0" fontId="27" fillId="10" borderId="27" xfId="0" applyFont="1" applyFill="1" applyBorder="1" applyAlignment="1">
      <alignment horizontal="center" vertical="center" wrapText="1" readingOrder="1"/>
    </xf>
    <xf numFmtId="0" fontId="27" fillId="10" borderId="28" xfId="0" applyFont="1" applyFill="1" applyBorder="1" applyAlignment="1">
      <alignment horizontal="center" vertical="center" wrapText="1" readingOrder="1"/>
    </xf>
    <xf numFmtId="0" fontId="27" fillId="10" borderId="29" xfId="0" applyFont="1" applyFill="1" applyBorder="1" applyAlignment="1">
      <alignment horizontal="center" vertical="center" wrapText="1" readingOrder="1"/>
    </xf>
    <xf numFmtId="0" fontId="29" fillId="0" borderId="30" xfId="0" applyFont="1" applyBorder="1" applyAlignment="1">
      <alignment horizontal="center" vertical="center" wrapText="1" readingOrder="1"/>
    </xf>
    <xf numFmtId="0" fontId="27" fillId="10" borderId="31" xfId="0" applyFont="1" applyFill="1" applyBorder="1" applyAlignment="1">
      <alignment horizontal="center" vertical="center" wrapText="1" readingOrder="1"/>
    </xf>
    <xf numFmtId="0" fontId="30" fillId="0" borderId="30" xfId="0" applyFont="1" applyBorder="1" applyAlignment="1">
      <alignment horizontal="center" vertical="center" wrapText="1" readingOrder="1"/>
    </xf>
    <xf numFmtId="1" fontId="30" fillId="0" borderId="30" xfId="0" applyNumberFormat="1" applyFont="1" applyBorder="1" applyAlignment="1">
      <alignment horizontal="center" vertical="center" wrapText="1" readingOrder="1"/>
    </xf>
    <xf numFmtId="2" fontId="29" fillId="0" borderId="30" xfId="0" applyNumberFormat="1" applyFont="1" applyBorder="1" applyAlignment="1">
      <alignment horizontal="center" vertical="center" wrapText="1" readingOrder="1"/>
    </xf>
    <xf numFmtId="1" fontId="31" fillId="11" borderId="1" xfId="2" applyNumberFormat="1" applyFont="1" applyFill="1" applyBorder="1" applyAlignment="1">
      <alignment horizontal="center" vertical="center"/>
    </xf>
    <xf numFmtId="1" fontId="32" fillId="12" borderId="1" xfId="2" applyNumberFormat="1" applyFont="1" applyFill="1" applyBorder="1" applyAlignment="1">
      <alignment horizontal="center" vertical="center"/>
    </xf>
    <xf numFmtId="164" fontId="15" fillId="0" borderId="32" xfId="1" applyNumberFormat="1" applyFont="1" applyFill="1" applyBorder="1" applyAlignment="1">
      <alignment horizontal="center" vertical="center"/>
    </xf>
    <xf numFmtId="10" fontId="15" fillId="0" borderId="32" xfId="1" applyNumberFormat="1" applyFont="1" applyFill="1" applyBorder="1" applyAlignment="1">
      <alignment horizontal="center" vertical="center"/>
    </xf>
    <xf numFmtId="1" fontId="26" fillId="4" borderId="0" xfId="0" applyNumberFormat="1" applyFont="1" applyFill="1" applyAlignment="1">
      <alignment horizontal="center" vertical="center"/>
    </xf>
    <xf numFmtId="1" fontId="25" fillId="8" borderId="0" xfId="0" applyNumberFormat="1" applyFont="1" applyFill="1" applyAlignment="1">
      <alignment horizontal="center"/>
    </xf>
    <xf numFmtId="1" fontId="9" fillId="8" borderId="1" xfId="2" applyNumberFormat="1" applyFont="1" applyFill="1" applyBorder="1" applyAlignment="1">
      <alignment horizontal="center" vertical="center"/>
    </xf>
    <xf numFmtId="3" fontId="32" fillId="8" borderId="1" xfId="2" applyNumberFormat="1" applyFont="1" applyFill="1" applyBorder="1" applyAlignment="1">
      <alignment horizontal="center" vertical="center"/>
    </xf>
    <xf numFmtId="3" fontId="32" fillId="5" borderId="1" xfId="2" applyNumberFormat="1" applyFont="1" applyFill="1" applyBorder="1" applyAlignment="1">
      <alignment horizontal="center" vertical="center"/>
    </xf>
    <xf numFmtId="2" fontId="11" fillId="3" borderId="1" xfId="2" applyNumberFormat="1" applyFont="1" applyFill="1" applyBorder="1" applyAlignment="1">
      <alignment horizontal="center" vertical="center"/>
    </xf>
    <xf numFmtId="1" fontId="6" fillId="2" borderId="1" xfId="2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textRotation="255" wrapText="1"/>
    </xf>
    <xf numFmtId="1" fontId="4" fillId="2" borderId="1" xfId="0" applyNumberFormat="1" applyFont="1" applyFill="1" applyBorder="1" applyAlignment="1">
      <alignment horizontal="center" vertical="center" textRotation="255" wrapText="1"/>
    </xf>
    <xf numFmtId="1" fontId="2" fillId="2" borderId="1" xfId="0" applyNumberFormat="1" applyFont="1" applyFill="1" applyBorder="1" applyAlignment="1">
      <alignment horizontal="center" vertical="center"/>
    </xf>
    <xf numFmtId="1" fontId="9" fillId="3" borderId="1" xfId="2" applyNumberFormat="1" applyFont="1" applyFill="1" applyBorder="1" applyAlignment="1">
      <alignment horizontal="center" vertical="center"/>
    </xf>
    <xf numFmtId="1" fontId="9" fillId="3" borderId="22" xfId="2" applyNumberFormat="1" applyFont="1" applyFill="1" applyBorder="1" applyAlignment="1">
      <alignment horizontal="center" vertical="center" textRotation="90"/>
    </xf>
    <xf numFmtId="1" fontId="9" fillId="3" borderId="23" xfId="2" applyNumberFormat="1" applyFont="1" applyFill="1" applyBorder="1" applyAlignment="1">
      <alignment horizontal="center" vertical="center" textRotation="90"/>
    </xf>
    <xf numFmtId="1" fontId="9" fillId="3" borderId="24" xfId="2" applyNumberFormat="1" applyFont="1" applyFill="1" applyBorder="1" applyAlignment="1">
      <alignment horizontal="center" vertical="center" textRotation="90"/>
    </xf>
    <xf numFmtId="0" fontId="6" fillId="2" borderId="1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255" wrapText="1"/>
    </xf>
    <xf numFmtId="0" fontId="4" fillId="2" borderId="1" xfId="0" applyFont="1" applyFill="1" applyBorder="1" applyAlignment="1">
      <alignment horizontal="center" vertical="center" textRotation="255" wrapText="1"/>
    </xf>
    <xf numFmtId="0" fontId="2" fillId="2" borderId="1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1" fontId="9" fillId="3" borderId="22" xfId="2" applyNumberFormat="1" applyFont="1" applyFill="1" applyBorder="1" applyAlignment="1">
      <alignment horizontal="center" vertical="center"/>
    </xf>
    <xf numFmtId="1" fontId="9" fillId="3" borderId="23" xfId="2" applyNumberFormat="1" applyFont="1" applyFill="1" applyBorder="1" applyAlignment="1">
      <alignment horizontal="center" vertical="center"/>
    </xf>
    <xf numFmtId="1" fontId="9" fillId="3" borderId="24" xfId="2" applyNumberFormat="1" applyFont="1" applyFill="1" applyBorder="1" applyAlignment="1">
      <alignment horizontal="center" vertical="center"/>
    </xf>
    <xf numFmtId="4" fontId="6" fillId="2" borderId="20" xfId="2" applyNumberFormat="1" applyFont="1" applyFill="1" applyBorder="1" applyAlignment="1">
      <alignment horizontal="center" vertical="center"/>
    </xf>
    <xf numFmtId="4" fontId="6" fillId="2" borderId="21" xfId="2" applyNumberFormat="1" applyFont="1" applyFill="1" applyBorder="1" applyAlignment="1">
      <alignment horizontal="center" vertical="center"/>
    </xf>
    <xf numFmtId="3" fontId="6" fillId="2" borderId="20" xfId="2" applyNumberFormat="1" applyFont="1" applyFill="1" applyBorder="1" applyAlignment="1">
      <alignment horizontal="center" vertical="center"/>
    </xf>
    <xf numFmtId="3" fontId="6" fillId="2" borderId="21" xfId="2" applyNumberFormat="1" applyFont="1" applyFill="1" applyBorder="1" applyAlignment="1">
      <alignment horizontal="center" vertical="center"/>
    </xf>
    <xf numFmtId="4" fontId="6" fillId="2" borderId="1" xfId="2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 textRotation="255" wrapText="1"/>
    </xf>
    <xf numFmtId="4" fontId="4" fillId="2" borderId="1" xfId="0" applyNumberFormat="1" applyFont="1" applyFill="1" applyBorder="1" applyAlignment="1">
      <alignment horizontal="center" vertical="center" textRotation="255" wrapText="1"/>
    </xf>
    <xf numFmtId="4" fontId="2" fillId="2" borderId="1" xfId="0" applyNumberFormat="1" applyFont="1" applyFill="1" applyBorder="1" applyAlignment="1">
      <alignment horizontal="center" vertical="center"/>
    </xf>
    <xf numFmtId="4" fontId="9" fillId="3" borderId="1" xfId="2" applyNumberFormat="1" applyFont="1" applyFill="1" applyBorder="1" applyAlignment="1">
      <alignment horizontal="center" vertical="center"/>
    </xf>
    <xf numFmtId="4" fontId="9" fillId="3" borderId="1" xfId="2" applyNumberFormat="1" applyFont="1" applyFill="1" applyBorder="1" applyAlignment="1">
      <alignment horizontal="center" vertical="center" textRotation="90"/>
    </xf>
    <xf numFmtId="4" fontId="3" fillId="0" borderId="1" xfId="0" applyNumberFormat="1" applyFont="1" applyBorder="1" applyAlignment="1">
      <alignment horizontal="center" vertical="center" textRotation="90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textRotation="90" wrapText="1"/>
    </xf>
    <xf numFmtId="1" fontId="0" fillId="0" borderId="33" xfId="0" applyNumberForma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1" fontId="0" fillId="0" borderId="35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33" fillId="13" borderId="40" xfId="0" applyFont="1" applyFill="1" applyBorder="1" applyAlignment="1">
      <alignment horizontal="center" vertical="center" wrapText="1" readingOrder="1"/>
    </xf>
    <xf numFmtId="0" fontId="33" fillId="13" borderId="41" xfId="0" applyFont="1" applyFill="1" applyBorder="1" applyAlignment="1">
      <alignment horizontal="center" vertical="center" wrapText="1" readingOrder="1"/>
    </xf>
    <xf numFmtId="0" fontId="33" fillId="13" borderId="42" xfId="0" applyFont="1" applyFill="1" applyBorder="1" applyAlignment="1">
      <alignment horizontal="center" vertical="center" wrapText="1" readingOrder="1"/>
    </xf>
    <xf numFmtId="0" fontId="33" fillId="13" borderId="43" xfId="0" applyFont="1" applyFill="1" applyBorder="1" applyAlignment="1">
      <alignment horizontal="center" vertical="center" wrapText="1" readingOrder="1"/>
    </xf>
    <xf numFmtId="0" fontId="34" fillId="0" borderId="44" xfId="0" applyFont="1" applyBorder="1" applyAlignment="1">
      <alignment horizontal="center" vertical="center" wrapText="1" readingOrder="1"/>
    </xf>
    <xf numFmtId="0" fontId="34" fillId="0" borderId="45" xfId="0" applyFont="1" applyBorder="1" applyAlignment="1">
      <alignment horizontal="center" vertical="center" wrapText="1" readingOrder="1"/>
    </xf>
    <xf numFmtId="0" fontId="35" fillId="0" borderId="46" xfId="0" applyFont="1" applyBorder="1" applyAlignment="1">
      <alignment horizontal="center" vertical="center" wrapText="1" readingOrder="1"/>
    </xf>
    <xf numFmtId="0" fontId="35" fillId="0" borderId="47" xfId="0" applyFont="1" applyBorder="1" applyAlignment="1">
      <alignment horizontal="center" vertical="center" wrapText="1" readingOrder="1"/>
    </xf>
    <xf numFmtId="0" fontId="34" fillId="0" borderId="46" xfId="0" applyFont="1" applyBorder="1" applyAlignment="1">
      <alignment horizontal="center" vertical="center" wrapText="1" readingOrder="1"/>
    </xf>
    <xf numFmtId="0" fontId="34" fillId="0" borderId="47" xfId="0" applyFont="1" applyBorder="1" applyAlignment="1">
      <alignment horizontal="center" vertical="center" wrapText="1" readingOrder="1"/>
    </xf>
    <xf numFmtId="0" fontId="33" fillId="13" borderId="48" xfId="0" applyFont="1" applyFill="1" applyBorder="1" applyAlignment="1">
      <alignment horizontal="center" vertical="center" wrapText="1" readingOrder="1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172714448801653E-2"/>
          <c:y val="4.211482728536154E-2"/>
          <c:w val="0.91755439899841695"/>
          <c:h val="0.7862144295299006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vpth!$O$2:$O$25</c:f>
              <c:numCache>
                <c:formatCode>0</c:formatCode>
                <c:ptCount val="24"/>
                <c:pt idx="0">
                  <c:v>122.85714285714286</c:v>
                </c:pt>
                <c:pt idx="1">
                  <c:v>124.57142857142857</c:v>
                </c:pt>
                <c:pt idx="2">
                  <c:v>112.85714285714286</c:v>
                </c:pt>
                <c:pt idx="3">
                  <c:v>103</c:v>
                </c:pt>
                <c:pt idx="4">
                  <c:v>89.142857142857139</c:v>
                </c:pt>
                <c:pt idx="5">
                  <c:v>128.71428571428572</c:v>
                </c:pt>
                <c:pt idx="6">
                  <c:v>125.28571428571429</c:v>
                </c:pt>
                <c:pt idx="7">
                  <c:v>125.42857142857143</c:v>
                </c:pt>
                <c:pt idx="8">
                  <c:v>149.42857142857142</c:v>
                </c:pt>
                <c:pt idx="9">
                  <c:v>141.28571428571428</c:v>
                </c:pt>
                <c:pt idx="10">
                  <c:v>164.85714285714286</c:v>
                </c:pt>
                <c:pt idx="11">
                  <c:v>154</c:v>
                </c:pt>
                <c:pt idx="12">
                  <c:v>172.57142857142858</c:v>
                </c:pt>
                <c:pt idx="13">
                  <c:v>202.42857142857142</c:v>
                </c:pt>
                <c:pt idx="14">
                  <c:v>204</c:v>
                </c:pt>
                <c:pt idx="15">
                  <c:v>191.14285714285714</c:v>
                </c:pt>
                <c:pt idx="16">
                  <c:v>210.85714285714286</c:v>
                </c:pt>
                <c:pt idx="17">
                  <c:v>195.14285714285714</c:v>
                </c:pt>
                <c:pt idx="18">
                  <c:v>185.42857142857142</c:v>
                </c:pt>
                <c:pt idx="19">
                  <c:v>176.85714285714286</c:v>
                </c:pt>
                <c:pt idx="20">
                  <c:v>176.71428571428572</c:v>
                </c:pt>
                <c:pt idx="21">
                  <c:v>155.28571428571428</c:v>
                </c:pt>
                <c:pt idx="22">
                  <c:v>150.42857142857142</c:v>
                </c:pt>
                <c:pt idx="23">
                  <c:v>141.85714285714286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F-4EE3-B487-2664293B4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0622720"/>
        <c:axId val="51765632"/>
      </c:barChart>
      <c:catAx>
        <c:axId val="40622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BO"/>
          </a:p>
        </c:txPr>
        <c:crossAx val="51765632"/>
        <c:crosses val="autoZero"/>
        <c:auto val="1"/>
        <c:lblAlgn val="ctr"/>
        <c:lblOffset val="100"/>
        <c:noMultiLvlLbl val="0"/>
      </c:catAx>
      <c:valAx>
        <c:axId val="517656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406227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vpth!$B$1:$N$1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vpth!$B$26:$N$26</c:f>
              <c:numCache>
                <c:formatCode>0</c:formatCode>
                <c:ptCount val="13"/>
                <c:pt idx="0">
                  <c:v>956.57142857142856</c:v>
                </c:pt>
                <c:pt idx="1">
                  <c:v>168.42857142857142</c:v>
                </c:pt>
                <c:pt idx="2">
                  <c:v>531.28571428571433</c:v>
                </c:pt>
                <c:pt idx="3">
                  <c:v>3.2857142857142856</c:v>
                </c:pt>
                <c:pt idx="4">
                  <c:v>85</c:v>
                </c:pt>
                <c:pt idx="5">
                  <c:v>585.71428571428567</c:v>
                </c:pt>
                <c:pt idx="6">
                  <c:v>55.714285714285715</c:v>
                </c:pt>
                <c:pt idx="7">
                  <c:v>234.57142857142858</c:v>
                </c:pt>
                <c:pt idx="8">
                  <c:v>393</c:v>
                </c:pt>
                <c:pt idx="9">
                  <c:v>520.14285714285711</c:v>
                </c:pt>
                <c:pt idx="10">
                  <c:v>149.57142857142858</c:v>
                </c:pt>
                <c:pt idx="11">
                  <c:v>20.857142857142858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2-4D4F-937C-AC002C2716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4549888"/>
        <c:axId val="54551680"/>
        <c:axId val="0"/>
      </c:bar3DChart>
      <c:catAx>
        <c:axId val="54549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4551680"/>
        <c:crosses val="autoZero"/>
        <c:auto val="1"/>
        <c:lblAlgn val="ctr"/>
        <c:lblOffset val="100"/>
        <c:noMultiLvlLbl val="0"/>
      </c:catAx>
      <c:valAx>
        <c:axId val="545516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54549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271787843602548"/>
          <c:y val="3.24073346532583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4.2470194851751505E-2"/>
          <c:y val="8.0480040399626696E-2"/>
          <c:w val="0.95752980514824848"/>
          <c:h val="0.664917263545195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vpth!$B$1</c:f>
              <c:strCache>
                <c:ptCount val="1"/>
                <c:pt idx="0">
                  <c:v>AUTOMÓVILES VAGONETAS Y JEEP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vpth!$B$2:$B$25</c:f>
              <c:numCache>
                <c:formatCode>0</c:formatCode>
                <c:ptCount val="24"/>
                <c:pt idx="0">
                  <c:v>149</c:v>
                </c:pt>
                <c:pt idx="1">
                  <c:v>87</c:v>
                </c:pt>
                <c:pt idx="2">
                  <c:v>103</c:v>
                </c:pt>
                <c:pt idx="3">
                  <c:v>110</c:v>
                </c:pt>
                <c:pt idx="4">
                  <c:v>90</c:v>
                </c:pt>
                <c:pt idx="5">
                  <c:v>155</c:v>
                </c:pt>
                <c:pt idx="6">
                  <c:v>208</c:v>
                </c:pt>
                <c:pt idx="7">
                  <c:v>271</c:v>
                </c:pt>
                <c:pt idx="8">
                  <c:v>402</c:v>
                </c:pt>
                <c:pt idx="9">
                  <c:v>304</c:v>
                </c:pt>
                <c:pt idx="10">
                  <c:v>322</c:v>
                </c:pt>
                <c:pt idx="11">
                  <c:v>365</c:v>
                </c:pt>
                <c:pt idx="12">
                  <c:v>382</c:v>
                </c:pt>
                <c:pt idx="13">
                  <c:v>395</c:v>
                </c:pt>
                <c:pt idx="14">
                  <c:v>453</c:v>
                </c:pt>
                <c:pt idx="15">
                  <c:v>398</c:v>
                </c:pt>
                <c:pt idx="16">
                  <c:v>463</c:v>
                </c:pt>
                <c:pt idx="17">
                  <c:v>403</c:v>
                </c:pt>
                <c:pt idx="18">
                  <c:v>412</c:v>
                </c:pt>
                <c:pt idx="19">
                  <c:v>354</c:v>
                </c:pt>
                <c:pt idx="20">
                  <c:v>291</c:v>
                </c:pt>
                <c:pt idx="21">
                  <c:v>235</c:v>
                </c:pt>
                <c:pt idx="22">
                  <c:v>189</c:v>
                </c:pt>
                <c:pt idx="2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E-413F-9075-FBF51EC792E7}"/>
            </c:ext>
          </c:extLst>
        </c:ser>
        <c:ser>
          <c:idx val="1"/>
          <c:order val="1"/>
          <c:tx>
            <c:strRef>
              <c:f>vpth!$C$1</c:f>
              <c:strCache>
                <c:ptCount val="1"/>
                <c:pt idx="0">
                  <c:v>CAMIONETAS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vpth!$C$2:$C$25</c:f>
              <c:numCache>
                <c:formatCode>0</c:formatCode>
                <c:ptCount val="24"/>
                <c:pt idx="0">
                  <c:v>35</c:v>
                </c:pt>
                <c:pt idx="1">
                  <c:v>16</c:v>
                </c:pt>
                <c:pt idx="2">
                  <c:v>11</c:v>
                </c:pt>
                <c:pt idx="3">
                  <c:v>21</c:v>
                </c:pt>
                <c:pt idx="4">
                  <c:v>21</c:v>
                </c:pt>
                <c:pt idx="5">
                  <c:v>31</c:v>
                </c:pt>
                <c:pt idx="6">
                  <c:v>39</c:v>
                </c:pt>
                <c:pt idx="7">
                  <c:v>52</c:v>
                </c:pt>
                <c:pt idx="8">
                  <c:v>78</c:v>
                </c:pt>
                <c:pt idx="9">
                  <c:v>65</c:v>
                </c:pt>
                <c:pt idx="10">
                  <c:v>75</c:v>
                </c:pt>
                <c:pt idx="11">
                  <c:v>66</c:v>
                </c:pt>
                <c:pt idx="12">
                  <c:v>55</c:v>
                </c:pt>
                <c:pt idx="13">
                  <c:v>82</c:v>
                </c:pt>
                <c:pt idx="14">
                  <c:v>71</c:v>
                </c:pt>
                <c:pt idx="15">
                  <c:v>60</c:v>
                </c:pt>
                <c:pt idx="16">
                  <c:v>58</c:v>
                </c:pt>
                <c:pt idx="17">
                  <c:v>54</c:v>
                </c:pt>
                <c:pt idx="18">
                  <c:v>66</c:v>
                </c:pt>
                <c:pt idx="19">
                  <c:v>56</c:v>
                </c:pt>
                <c:pt idx="20">
                  <c:v>56</c:v>
                </c:pt>
                <c:pt idx="21">
                  <c:v>41</c:v>
                </c:pt>
                <c:pt idx="22">
                  <c:v>35</c:v>
                </c:pt>
                <c:pt idx="2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E-413F-9075-FBF51EC792E7}"/>
            </c:ext>
          </c:extLst>
        </c:ser>
        <c:ser>
          <c:idx val="2"/>
          <c:order val="2"/>
          <c:tx>
            <c:strRef>
              <c:f>vpth!$D$1</c:f>
              <c:strCache>
                <c:ptCount val="1"/>
                <c:pt idx="0">
                  <c:v>MINIBUSES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vpth!$D$2:$D$25</c:f>
              <c:numCache>
                <c:formatCode>0</c:formatCode>
                <c:ptCount val="24"/>
                <c:pt idx="0">
                  <c:v>41</c:v>
                </c:pt>
                <c:pt idx="1">
                  <c:v>63</c:v>
                </c:pt>
                <c:pt idx="2">
                  <c:v>48</c:v>
                </c:pt>
                <c:pt idx="3">
                  <c:v>39</c:v>
                </c:pt>
                <c:pt idx="4">
                  <c:v>47</c:v>
                </c:pt>
                <c:pt idx="5">
                  <c:v>102</c:v>
                </c:pt>
                <c:pt idx="6">
                  <c:v>170</c:v>
                </c:pt>
                <c:pt idx="7">
                  <c:v>151</c:v>
                </c:pt>
                <c:pt idx="8">
                  <c:v>180</c:v>
                </c:pt>
                <c:pt idx="9">
                  <c:v>166</c:v>
                </c:pt>
                <c:pt idx="10">
                  <c:v>196</c:v>
                </c:pt>
                <c:pt idx="11">
                  <c:v>180</c:v>
                </c:pt>
                <c:pt idx="12">
                  <c:v>237</c:v>
                </c:pt>
                <c:pt idx="13">
                  <c:v>277</c:v>
                </c:pt>
                <c:pt idx="14">
                  <c:v>251</c:v>
                </c:pt>
                <c:pt idx="15">
                  <c:v>233</c:v>
                </c:pt>
                <c:pt idx="16">
                  <c:v>239</c:v>
                </c:pt>
                <c:pt idx="17">
                  <c:v>242</c:v>
                </c:pt>
                <c:pt idx="18">
                  <c:v>191</c:v>
                </c:pt>
                <c:pt idx="19">
                  <c:v>150</c:v>
                </c:pt>
                <c:pt idx="20">
                  <c:v>163</c:v>
                </c:pt>
                <c:pt idx="21">
                  <c:v>117</c:v>
                </c:pt>
                <c:pt idx="22">
                  <c:v>131</c:v>
                </c:pt>
                <c:pt idx="2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EE-413F-9075-FBF51EC792E7}"/>
            </c:ext>
          </c:extLst>
        </c:ser>
        <c:ser>
          <c:idx val="3"/>
          <c:order val="3"/>
          <c:tx>
            <c:strRef>
              <c:f>vpth!$E$1</c:f>
              <c:strCache>
                <c:ptCount val="1"/>
                <c:pt idx="0">
                  <c:v>MICROBUSES
(DOS EJES)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vpth!$E$2:$E$25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EE-413F-9075-FBF51EC792E7}"/>
            </c:ext>
          </c:extLst>
        </c:ser>
        <c:ser>
          <c:idx val="4"/>
          <c:order val="4"/>
          <c:tx>
            <c:strRef>
              <c:f>vpth!$F$1</c:f>
              <c:strCache>
                <c:ptCount val="1"/>
                <c:pt idx="0">
                  <c:v>BÚS MEDIANO
(DOS EJES)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vpth!$F$2:$F$25</c:f>
              <c:numCache>
                <c:formatCode>0</c:formatCode>
                <c:ptCount val="24"/>
                <c:pt idx="0">
                  <c:v>32</c:v>
                </c:pt>
                <c:pt idx="1">
                  <c:v>29</c:v>
                </c:pt>
                <c:pt idx="2">
                  <c:v>16</c:v>
                </c:pt>
                <c:pt idx="3">
                  <c:v>60</c:v>
                </c:pt>
                <c:pt idx="4">
                  <c:v>10</c:v>
                </c:pt>
                <c:pt idx="5">
                  <c:v>22</c:v>
                </c:pt>
                <c:pt idx="6">
                  <c:v>14</c:v>
                </c:pt>
                <c:pt idx="7">
                  <c:v>17</c:v>
                </c:pt>
                <c:pt idx="8">
                  <c:v>16</c:v>
                </c:pt>
                <c:pt idx="9">
                  <c:v>18</c:v>
                </c:pt>
                <c:pt idx="10">
                  <c:v>31</c:v>
                </c:pt>
                <c:pt idx="11">
                  <c:v>18</c:v>
                </c:pt>
                <c:pt idx="12">
                  <c:v>35</c:v>
                </c:pt>
                <c:pt idx="13">
                  <c:v>34</c:v>
                </c:pt>
                <c:pt idx="14">
                  <c:v>37</c:v>
                </c:pt>
                <c:pt idx="15">
                  <c:v>27</c:v>
                </c:pt>
                <c:pt idx="16">
                  <c:v>15</c:v>
                </c:pt>
                <c:pt idx="17">
                  <c:v>20</c:v>
                </c:pt>
                <c:pt idx="18">
                  <c:v>9</c:v>
                </c:pt>
                <c:pt idx="19">
                  <c:v>20</c:v>
                </c:pt>
                <c:pt idx="20">
                  <c:v>22</c:v>
                </c:pt>
                <c:pt idx="21">
                  <c:v>19</c:v>
                </c:pt>
                <c:pt idx="22">
                  <c:v>26</c:v>
                </c:pt>
                <c:pt idx="2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EE-413F-9075-FBF51EC792E7}"/>
            </c:ext>
          </c:extLst>
        </c:ser>
        <c:ser>
          <c:idx val="5"/>
          <c:order val="5"/>
          <c:tx>
            <c:strRef>
              <c:f>vpth!$G$1</c:f>
              <c:strCache>
                <c:ptCount val="1"/>
                <c:pt idx="0">
                  <c:v>BÚS GRANDE 
(DOS O MAS EJES)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vpth!$G$2:$G$25</c:f>
              <c:numCache>
                <c:formatCode>0</c:formatCode>
                <c:ptCount val="24"/>
                <c:pt idx="0">
                  <c:v>215</c:v>
                </c:pt>
                <c:pt idx="1">
                  <c:v>326</c:v>
                </c:pt>
                <c:pt idx="2">
                  <c:v>346</c:v>
                </c:pt>
                <c:pt idx="3">
                  <c:v>215</c:v>
                </c:pt>
                <c:pt idx="4">
                  <c:v>149</c:v>
                </c:pt>
                <c:pt idx="5">
                  <c:v>137</c:v>
                </c:pt>
                <c:pt idx="6">
                  <c:v>91</c:v>
                </c:pt>
                <c:pt idx="7">
                  <c:v>59</c:v>
                </c:pt>
                <c:pt idx="8">
                  <c:v>78</c:v>
                </c:pt>
                <c:pt idx="9">
                  <c:v>121</c:v>
                </c:pt>
                <c:pt idx="10">
                  <c:v>153</c:v>
                </c:pt>
                <c:pt idx="11">
                  <c:v>154</c:v>
                </c:pt>
                <c:pt idx="12">
                  <c:v>178</c:v>
                </c:pt>
                <c:pt idx="13">
                  <c:v>201</c:v>
                </c:pt>
                <c:pt idx="14">
                  <c:v>167</c:v>
                </c:pt>
                <c:pt idx="15">
                  <c:v>167</c:v>
                </c:pt>
                <c:pt idx="16">
                  <c:v>184</c:v>
                </c:pt>
                <c:pt idx="17">
                  <c:v>181</c:v>
                </c:pt>
                <c:pt idx="18">
                  <c:v>140</c:v>
                </c:pt>
                <c:pt idx="19">
                  <c:v>165</c:v>
                </c:pt>
                <c:pt idx="20">
                  <c:v>164</c:v>
                </c:pt>
                <c:pt idx="21">
                  <c:v>150</c:v>
                </c:pt>
                <c:pt idx="22">
                  <c:v>170</c:v>
                </c:pt>
                <c:pt idx="23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EE-413F-9075-FBF51EC792E7}"/>
            </c:ext>
          </c:extLst>
        </c:ser>
        <c:ser>
          <c:idx val="6"/>
          <c:order val="6"/>
          <c:tx>
            <c:strRef>
              <c:f>vpth!$H$1</c:f>
              <c:strCache>
                <c:ptCount val="1"/>
                <c:pt idx="0">
                  <c:v>CAMIÓN MEDIANO
(DOS EJES)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vpth!$H$2:$H$25</c:f>
              <c:numCache>
                <c:formatCode>0</c:formatCode>
                <c:ptCount val="24"/>
                <c:pt idx="0">
                  <c:v>23</c:v>
                </c:pt>
                <c:pt idx="1">
                  <c:v>11</c:v>
                </c:pt>
                <c:pt idx="2">
                  <c:v>12</c:v>
                </c:pt>
                <c:pt idx="3">
                  <c:v>7</c:v>
                </c:pt>
                <c:pt idx="4">
                  <c:v>9</c:v>
                </c:pt>
                <c:pt idx="5">
                  <c:v>29</c:v>
                </c:pt>
                <c:pt idx="6">
                  <c:v>8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17</c:v>
                </c:pt>
                <c:pt idx="11">
                  <c:v>13</c:v>
                </c:pt>
                <c:pt idx="12">
                  <c:v>20</c:v>
                </c:pt>
                <c:pt idx="13">
                  <c:v>18</c:v>
                </c:pt>
                <c:pt idx="14">
                  <c:v>32</c:v>
                </c:pt>
                <c:pt idx="15">
                  <c:v>17</c:v>
                </c:pt>
                <c:pt idx="16">
                  <c:v>28</c:v>
                </c:pt>
                <c:pt idx="17">
                  <c:v>24</c:v>
                </c:pt>
                <c:pt idx="18">
                  <c:v>19</c:v>
                </c:pt>
                <c:pt idx="19">
                  <c:v>22</c:v>
                </c:pt>
                <c:pt idx="20">
                  <c:v>16</c:v>
                </c:pt>
                <c:pt idx="21">
                  <c:v>13</c:v>
                </c:pt>
                <c:pt idx="22">
                  <c:v>9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EE-413F-9075-FBF51EC792E7}"/>
            </c:ext>
          </c:extLst>
        </c:ser>
        <c:ser>
          <c:idx val="7"/>
          <c:order val="7"/>
          <c:tx>
            <c:strRef>
              <c:f>vpth!$I$1</c:f>
              <c:strCache>
                <c:ptCount val="1"/>
                <c:pt idx="0">
                  <c:v>CAMIÓN GRANDE
( DOS EJES)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vpth!$I$2:$I$25</c:f>
              <c:numCache>
                <c:formatCode>0</c:formatCode>
                <c:ptCount val="24"/>
                <c:pt idx="0">
                  <c:v>65</c:v>
                </c:pt>
                <c:pt idx="1">
                  <c:v>66</c:v>
                </c:pt>
                <c:pt idx="2">
                  <c:v>55</c:v>
                </c:pt>
                <c:pt idx="3">
                  <c:v>38</c:v>
                </c:pt>
                <c:pt idx="4">
                  <c:v>50</c:v>
                </c:pt>
                <c:pt idx="5">
                  <c:v>81</c:v>
                </c:pt>
                <c:pt idx="6">
                  <c:v>44</c:v>
                </c:pt>
                <c:pt idx="7">
                  <c:v>46</c:v>
                </c:pt>
                <c:pt idx="8">
                  <c:v>39</c:v>
                </c:pt>
                <c:pt idx="9">
                  <c:v>46</c:v>
                </c:pt>
                <c:pt idx="10">
                  <c:v>79</c:v>
                </c:pt>
                <c:pt idx="11">
                  <c:v>35</c:v>
                </c:pt>
                <c:pt idx="12">
                  <c:v>51</c:v>
                </c:pt>
                <c:pt idx="13">
                  <c:v>79</c:v>
                </c:pt>
                <c:pt idx="14">
                  <c:v>88</c:v>
                </c:pt>
                <c:pt idx="15">
                  <c:v>76</c:v>
                </c:pt>
                <c:pt idx="16">
                  <c:v>96</c:v>
                </c:pt>
                <c:pt idx="17">
                  <c:v>100</c:v>
                </c:pt>
                <c:pt idx="18">
                  <c:v>88</c:v>
                </c:pt>
                <c:pt idx="19">
                  <c:v>81</c:v>
                </c:pt>
                <c:pt idx="20">
                  <c:v>90</c:v>
                </c:pt>
                <c:pt idx="21">
                  <c:v>88</c:v>
                </c:pt>
                <c:pt idx="22">
                  <c:v>83</c:v>
                </c:pt>
                <c:pt idx="2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EE-413F-9075-FBF51EC792E7}"/>
            </c:ext>
          </c:extLst>
        </c:ser>
        <c:ser>
          <c:idx val="8"/>
          <c:order val="8"/>
          <c:tx>
            <c:strRef>
              <c:f>vpth!$J$1</c:f>
              <c:strCache>
                <c:ptCount val="1"/>
                <c:pt idx="0">
                  <c:v>CAMION GRANDE
(TRES EJES)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vpth!$J$2:$J$25</c:f>
              <c:numCache>
                <c:formatCode>0</c:formatCode>
                <c:ptCount val="24"/>
                <c:pt idx="0">
                  <c:v>124</c:v>
                </c:pt>
                <c:pt idx="1">
                  <c:v>116</c:v>
                </c:pt>
                <c:pt idx="2">
                  <c:v>103</c:v>
                </c:pt>
                <c:pt idx="3">
                  <c:v>88</c:v>
                </c:pt>
                <c:pt idx="4">
                  <c:v>94</c:v>
                </c:pt>
                <c:pt idx="5">
                  <c:v>100</c:v>
                </c:pt>
                <c:pt idx="6">
                  <c:v>86</c:v>
                </c:pt>
                <c:pt idx="7">
                  <c:v>88</c:v>
                </c:pt>
                <c:pt idx="8">
                  <c:v>78</c:v>
                </c:pt>
                <c:pt idx="9">
                  <c:v>96</c:v>
                </c:pt>
                <c:pt idx="10">
                  <c:v>91</c:v>
                </c:pt>
                <c:pt idx="11">
                  <c:v>74</c:v>
                </c:pt>
                <c:pt idx="12">
                  <c:v>93</c:v>
                </c:pt>
                <c:pt idx="13">
                  <c:v>101</c:v>
                </c:pt>
                <c:pt idx="14">
                  <c:v>105</c:v>
                </c:pt>
                <c:pt idx="15">
                  <c:v>147</c:v>
                </c:pt>
                <c:pt idx="16">
                  <c:v>151</c:v>
                </c:pt>
                <c:pt idx="17">
                  <c:v>128</c:v>
                </c:pt>
                <c:pt idx="18">
                  <c:v>127</c:v>
                </c:pt>
                <c:pt idx="19">
                  <c:v>145</c:v>
                </c:pt>
                <c:pt idx="20">
                  <c:v>167</c:v>
                </c:pt>
                <c:pt idx="21">
                  <c:v>162</c:v>
                </c:pt>
                <c:pt idx="22">
                  <c:v>160</c:v>
                </c:pt>
                <c:pt idx="23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EE-413F-9075-FBF51EC792E7}"/>
            </c:ext>
          </c:extLst>
        </c:ser>
        <c:ser>
          <c:idx val="9"/>
          <c:order val="9"/>
          <c:tx>
            <c:strRef>
              <c:f>vpth!$K$1</c:f>
              <c:strCache>
                <c:ptCount val="1"/>
                <c:pt idx="0">
                  <c:v>CAMIÓN CON SEMIRREMOLQUE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vpth!$K$2:$K$25</c:f>
              <c:numCache>
                <c:formatCode>0</c:formatCode>
                <c:ptCount val="24"/>
                <c:pt idx="0">
                  <c:v>128</c:v>
                </c:pt>
                <c:pt idx="1">
                  <c:v>126</c:v>
                </c:pt>
                <c:pt idx="2">
                  <c:v>71</c:v>
                </c:pt>
                <c:pt idx="3">
                  <c:v>114</c:v>
                </c:pt>
                <c:pt idx="4">
                  <c:v>124</c:v>
                </c:pt>
                <c:pt idx="5">
                  <c:v>161</c:v>
                </c:pt>
                <c:pt idx="6">
                  <c:v>173</c:v>
                </c:pt>
                <c:pt idx="7">
                  <c:v>158</c:v>
                </c:pt>
                <c:pt idx="8">
                  <c:v>119</c:v>
                </c:pt>
                <c:pt idx="9">
                  <c:v>118</c:v>
                </c:pt>
                <c:pt idx="10">
                  <c:v>132</c:v>
                </c:pt>
                <c:pt idx="11">
                  <c:v>115</c:v>
                </c:pt>
                <c:pt idx="12">
                  <c:v>99</c:v>
                </c:pt>
                <c:pt idx="13">
                  <c:v>156</c:v>
                </c:pt>
                <c:pt idx="14">
                  <c:v>160</c:v>
                </c:pt>
                <c:pt idx="15">
                  <c:v>155</c:v>
                </c:pt>
                <c:pt idx="16">
                  <c:v>195</c:v>
                </c:pt>
                <c:pt idx="17">
                  <c:v>164</c:v>
                </c:pt>
                <c:pt idx="18">
                  <c:v>195</c:v>
                </c:pt>
                <c:pt idx="19">
                  <c:v>180</c:v>
                </c:pt>
                <c:pt idx="20">
                  <c:v>209</c:v>
                </c:pt>
                <c:pt idx="21">
                  <c:v>194</c:v>
                </c:pt>
                <c:pt idx="22">
                  <c:v>198</c:v>
                </c:pt>
                <c:pt idx="23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2EE-413F-9075-FBF51EC792E7}"/>
            </c:ext>
          </c:extLst>
        </c:ser>
        <c:ser>
          <c:idx val="10"/>
          <c:order val="10"/>
          <c:tx>
            <c:strRef>
              <c:f>vpth!$L$1</c:f>
              <c:strCache>
                <c:ptCount val="1"/>
                <c:pt idx="0">
                  <c:v>CAMION CON
REMOLQUE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vpth!$L$2:$L$25</c:f>
              <c:numCache>
                <c:formatCode>0</c:formatCode>
                <c:ptCount val="24"/>
                <c:pt idx="0">
                  <c:v>45</c:v>
                </c:pt>
                <c:pt idx="1">
                  <c:v>32</c:v>
                </c:pt>
                <c:pt idx="2">
                  <c:v>24</c:v>
                </c:pt>
                <c:pt idx="3">
                  <c:v>29</c:v>
                </c:pt>
                <c:pt idx="4">
                  <c:v>29</c:v>
                </c:pt>
                <c:pt idx="5">
                  <c:v>74</c:v>
                </c:pt>
                <c:pt idx="6">
                  <c:v>33</c:v>
                </c:pt>
                <c:pt idx="7">
                  <c:v>17</c:v>
                </c:pt>
                <c:pt idx="8">
                  <c:v>24</c:v>
                </c:pt>
                <c:pt idx="9">
                  <c:v>35</c:v>
                </c:pt>
                <c:pt idx="10">
                  <c:v>47</c:v>
                </c:pt>
                <c:pt idx="11">
                  <c:v>28</c:v>
                </c:pt>
                <c:pt idx="12">
                  <c:v>47</c:v>
                </c:pt>
                <c:pt idx="13">
                  <c:v>62</c:v>
                </c:pt>
                <c:pt idx="14">
                  <c:v>51</c:v>
                </c:pt>
                <c:pt idx="15">
                  <c:v>48</c:v>
                </c:pt>
                <c:pt idx="16">
                  <c:v>42</c:v>
                </c:pt>
                <c:pt idx="17">
                  <c:v>45</c:v>
                </c:pt>
                <c:pt idx="18">
                  <c:v>45</c:v>
                </c:pt>
                <c:pt idx="19">
                  <c:v>62</c:v>
                </c:pt>
                <c:pt idx="20">
                  <c:v>57</c:v>
                </c:pt>
                <c:pt idx="21">
                  <c:v>65</c:v>
                </c:pt>
                <c:pt idx="22">
                  <c:v>51</c:v>
                </c:pt>
                <c:pt idx="2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2EE-413F-9075-FBF51EC792E7}"/>
            </c:ext>
          </c:extLst>
        </c:ser>
        <c:ser>
          <c:idx val="11"/>
          <c:order val="11"/>
          <c:tx>
            <c:strRef>
              <c:f>vpth!$M$1</c:f>
              <c:strCache>
                <c:ptCount val="1"/>
                <c:pt idx="0">
                  <c:v>MOTOCICLETAS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vpth!$M$2:$M$25</c:f>
              <c:numCache>
                <c:formatCode>0</c:formatCode>
                <c:ptCount val="2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9</c:v>
                </c:pt>
                <c:pt idx="6">
                  <c:v>10</c:v>
                </c:pt>
                <c:pt idx="7">
                  <c:v>3</c:v>
                </c:pt>
                <c:pt idx="8">
                  <c:v>16</c:v>
                </c:pt>
                <c:pt idx="9">
                  <c:v>6</c:v>
                </c:pt>
                <c:pt idx="10">
                  <c:v>9</c:v>
                </c:pt>
                <c:pt idx="11">
                  <c:v>27</c:v>
                </c:pt>
                <c:pt idx="12">
                  <c:v>10</c:v>
                </c:pt>
                <c:pt idx="13">
                  <c:v>9</c:v>
                </c:pt>
                <c:pt idx="14">
                  <c:v>12</c:v>
                </c:pt>
                <c:pt idx="15">
                  <c:v>8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2EE-413F-9075-FBF51EC792E7}"/>
            </c:ext>
          </c:extLst>
        </c:ser>
        <c:ser>
          <c:idx val="12"/>
          <c:order val="12"/>
          <c:tx>
            <c:strRef>
              <c:f>vpth!$N$1</c:f>
              <c:strCache>
                <c:ptCount val="1"/>
                <c:pt idx="0">
                  <c:v>OTROS VEHICULOS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vpth!$N$2:$N$25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2EE-413F-9075-FBF51EC792E7}"/>
            </c:ext>
          </c:extLst>
        </c:ser>
        <c:ser>
          <c:idx val="13"/>
          <c:order val="13"/>
          <c:tx>
            <c:strRef>
              <c:f>vpth!$O$1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vpth!$A$2:$A$25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vpth!$O$2:$O$25</c:f>
              <c:numCache>
                <c:formatCode>0</c:formatCode>
                <c:ptCount val="24"/>
                <c:pt idx="0">
                  <c:v>122.85714285714286</c:v>
                </c:pt>
                <c:pt idx="1">
                  <c:v>124.57142857142857</c:v>
                </c:pt>
                <c:pt idx="2">
                  <c:v>112.85714285714286</c:v>
                </c:pt>
                <c:pt idx="3">
                  <c:v>103</c:v>
                </c:pt>
                <c:pt idx="4">
                  <c:v>89.142857142857139</c:v>
                </c:pt>
                <c:pt idx="5">
                  <c:v>128.71428571428572</c:v>
                </c:pt>
                <c:pt idx="6">
                  <c:v>125.28571428571429</c:v>
                </c:pt>
                <c:pt idx="7">
                  <c:v>125.42857142857143</c:v>
                </c:pt>
                <c:pt idx="8">
                  <c:v>149.42857142857142</c:v>
                </c:pt>
                <c:pt idx="9">
                  <c:v>141.28571428571428</c:v>
                </c:pt>
                <c:pt idx="10">
                  <c:v>164.85714285714286</c:v>
                </c:pt>
                <c:pt idx="11">
                  <c:v>154</c:v>
                </c:pt>
                <c:pt idx="12">
                  <c:v>172.57142857142858</c:v>
                </c:pt>
                <c:pt idx="13">
                  <c:v>202.42857142857142</c:v>
                </c:pt>
                <c:pt idx="14">
                  <c:v>204</c:v>
                </c:pt>
                <c:pt idx="15">
                  <c:v>191.14285714285714</c:v>
                </c:pt>
                <c:pt idx="16">
                  <c:v>210.85714285714286</c:v>
                </c:pt>
                <c:pt idx="17">
                  <c:v>195.14285714285714</c:v>
                </c:pt>
                <c:pt idx="18">
                  <c:v>185.42857142857142</c:v>
                </c:pt>
                <c:pt idx="19">
                  <c:v>176.85714285714286</c:v>
                </c:pt>
                <c:pt idx="20">
                  <c:v>176.71428571428572</c:v>
                </c:pt>
                <c:pt idx="21">
                  <c:v>155.28571428571428</c:v>
                </c:pt>
                <c:pt idx="22">
                  <c:v>150.42857142857142</c:v>
                </c:pt>
                <c:pt idx="23">
                  <c:v>141.85714285714286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2EE-413F-9075-FBF51EC79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6129712"/>
        <c:axId val="1126130040"/>
      </c:barChart>
      <c:catAx>
        <c:axId val="112612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26130040"/>
        <c:crosses val="autoZero"/>
        <c:auto val="1"/>
        <c:lblAlgn val="ctr"/>
        <c:lblOffset val="100"/>
        <c:noMultiLvlLbl val="0"/>
      </c:catAx>
      <c:valAx>
        <c:axId val="112613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2612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406588599501981E-2"/>
          <c:y val="5.8297300987665557E-2"/>
          <c:w val="0.59733915472104449"/>
          <c:h val="0.8258469497671172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trendlineType val="log"/>
            <c:dispRSqr val="1"/>
            <c:dispEq val="1"/>
            <c:trendlineLbl>
              <c:layout>
                <c:manualLayout>
                  <c:x val="0.39251947472912041"/>
                  <c:y val="2.2715169996813982E-2"/>
                </c:manualLayout>
              </c:layout>
              <c:numFmt formatCode="General" sourceLinked="0"/>
            </c:trendlineLbl>
          </c:trendline>
          <c:xVal>
            <c:numRef>
              <c:f>PROYECCION!$B$2:$B$11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xVal>
          <c:yVal>
            <c:numRef>
              <c:f>PROYECCION!$C$2:$C$11</c:f>
              <c:numCache>
                <c:formatCode>General</c:formatCode>
                <c:ptCount val="10"/>
                <c:pt idx="0">
                  <c:v>220</c:v>
                </c:pt>
                <c:pt idx="1">
                  <c:v>350</c:v>
                </c:pt>
                <c:pt idx="2">
                  <c:v>388</c:v>
                </c:pt>
                <c:pt idx="3">
                  <c:v>390</c:v>
                </c:pt>
                <c:pt idx="4">
                  <c:v>400</c:v>
                </c:pt>
                <c:pt idx="5">
                  <c:v>410</c:v>
                </c:pt>
                <c:pt idx="6">
                  <c:v>450</c:v>
                </c:pt>
                <c:pt idx="7">
                  <c:v>468</c:v>
                </c:pt>
                <c:pt idx="8">
                  <c:v>480</c:v>
                </c:pt>
                <c:pt idx="9">
                  <c:v>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66-4F91-934A-F8F708FB7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78560"/>
        <c:axId val="54584448"/>
      </c:scatterChart>
      <c:valAx>
        <c:axId val="5457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4584448"/>
        <c:crosses val="autoZero"/>
        <c:crossBetween val="midCat"/>
      </c:valAx>
      <c:valAx>
        <c:axId val="54584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45785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39700686452654954"/>
                  <c:y val="0.60864143251129144"/>
                </c:manualLayout>
              </c:layout>
              <c:numFmt formatCode="General" sourceLinked="0"/>
            </c:trendlineLbl>
          </c:trendline>
          <c:xVal>
            <c:numRef>
              <c:f>PROYECCION!$B$2:$B$11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xVal>
          <c:yVal>
            <c:numRef>
              <c:f>PROYECCION!$C$2:$C$11</c:f>
              <c:numCache>
                <c:formatCode>General</c:formatCode>
                <c:ptCount val="10"/>
                <c:pt idx="0">
                  <c:v>220</c:v>
                </c:pt>
                <c:pt idx="1">
                  <c:v>350</c:v>
                </c:pt>
                <c:pt idx="2">
                  <c:v>388</c:v>
                </c:pt>
                <c:pt idx="3">
                  <c:v>390</c:v>
                </c:pt>
                <c:pt idx="4">
                  <c:v>400</c:v>
                </c:pt>
                <c:pt idx="5">
                  <c:v>410</c:v>
                </c:pt>
                <c:pt idx="6">
                  <c:v>450</c:v>
                </c:pt>
                <c:pt idx="7">
                  <c:v>468</c:v>
                </c:pt>
                <c:pt idx="8">
                  <c:v>480</c:v>
                </c:pt>
                <c:pt idx="9">
                  <c:v>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8B-43CA-9718-F5EBF7B90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85248"/>
        <c:axId val="55286784"/>
      </c:scatterChart>
      <c:valAx>
        <c:axId val="5528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286784"/>
        <c:crosses val="autoZero"/>
        <c:crossBetween val="midCat"/>
      </c:valAx>
      <c:valAx>
        <c:axId val="5528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52852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trendlineType val="exp"/>
            <c:dispRSqr val="1"/>
            <c:dispEq val="1"/>
            <c:trendlineLbl>
              <c:layout>
                <c:manualLayout>
                  <c:x val="0.31946526515916279"/>
                  <c:y val="-8.7072352950100892E-2"/>
                </c:manualLayout>
              </c:layout>
              <c:numFmt formatCode="General" sourceLinked="0"/>
            </c:trendlineLbl>
          </c:trendline>
          <c:xVal>
            <c:numRef>
              <c:f>PROYECCION!$B$2:$B$10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xVal>
          <c:yVal>
            <c:numRef>
              <c:f>PROYECCION!$C$2:$C$10</c:f>
              <c:numCache>
                <c:formatCode>General</c:formatCode>
                <c:ptCount val="9"/>
                <c:pt idx="0">
                  <c:v>220</c:v>
                </c:pt>
                <c:pt idx="1">
                  <c:v>350</c:v>
                </c:pt>
                <c:pt idx="2">
                  <c:v>388</c:v>
                </c:pt>
                <c:pt idx="3">
                  <c:v>390</c:v>
                </c:pt>
                <c:pt idx="4">
                  <c:v>400</c:v>
                </c:pt>
                <c:pt idx="5">
                  <c:v>410</c:v>
                </c:pt>
                <c:pt idx="6">
                  <c:v>450</c:v>
                </c:pt>
                <c:pt idx="7">
                  <c:v>468</c:v>
                </c:pt>
                <c:pt idx="8">
                  <c:v>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19-499A-823A-C6B631B39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95360"/>
        <c:axId val="55313536"/>
      </c:scatterChart>
      <c:valAx>
        <c:axId val="5529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313536"/>
        <c:crosses val="autoZero"/>
        <c:crossBetween val="midCat"/>
      </c:valAx>
      <c:valAx>
        <c:axId val="55313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5295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8.4803149606299214E-2"/>
          <c:y val="0.17171296296296298"/>
          <c:w val="0.8648635170603674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907699037620298E-2"/>
                  <c:y val="0.450758238553514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BO"/>
                </a:p>
              </c:txPr>
            </c:trendlineLbl>
          </c:trendline>
          <c:xVal>
            <c:numRef>
              <c:f>PROYECCION!$B$2:$B$11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xVal>
          <c:yVal>
            <c:numRef>
              <c:f>PROYECCION!$C$2:$C$11</c:f>
              <c:numCache>
                <c:formatCode>General</c:formatCode>
                <c:ptCount val="10"/>
                <c:pt idx="0">
                  <c:v>220</c:v>
                </c:pt>
                <c:pt idx="1">
                  <c:v>350</c:v>
                </c:pt>
                <c:pt idx="2">
                  <c:v>388</c:v>
                </c:pt>
                <c:pt idx="3">
                  <c:v>390</c:v>
                </c:pt>
                <c:pt idx="4">
                  <c:v>400</c:v>
                </c:pt>
                <c:pt idx="5">
                  <c:v>410</c:v>
                </c:pt>
                <c:pt idx="6">
                  <c:v>450</c:v>
                </c:pt>
                <c:pt idx="7">
                  <c:v>468</c:v>
                </c:pt>
                <c:pt idx="8">
                  <c:v>480</c:v>
                </c:pt>
                <c:pt idx="9">
                  <c:v>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D-4AD3-BFC1-B95E3F84D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427456"/>
        <c:axId val="438430408"/>
      </c:scatterChart>
      <c:valAx>
        <c:axId val="43842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38430408"/>
        <c:crosses val="autoZero"/>
        <c:crossBetween val="midCat"/>
      </c:valAx>
      <c:valAx>
        <c:axId val="43843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3842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1.png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213360</xdr:rowOff>
    </xdr:from>
    <xdr:to>
      <xdr:col>0</xdr:col>
      <xdr:colOff>822960</xdr:colOff>
      <xdr:row>0</xdr:row>
      <xdr:rowOff>762000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100" y="213360"/>
          <a:ext cx="784860" cy="5486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0</xdr:col>
      <xdr:colOff>53340</xdr:colOff>
      <xdr:row>13</xdr:row>
      <xdr:rowOff>129540</xdr:rowOff>
    </xdr:from>
    <xdr:to>
      <xdr:col>0</xdr:col>
      <xdr:colOff>769620</xdr:colOff>
      <xdr:row>13</xdr:row>
      <xdr:rowOff>708660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53340" y="3154680"/>
          <a:ext cx="716280" cy="5791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0</xdr:col>
      <xdr:colOff>0</xdr:colOff>
      <xdr:row>26</xdr:row>
      <xdr:rowOff>327660</xdr:rowOff>
    </xdr:from>
    <xdr:to>
      <xdr:col>0</xdr:col>
      <xdr:colOff>822960</xdr:colOff>
      <xdr:row>26</xdr:row>
      <xdr:rowOff>883920</xdr:rowOff>
    </xdr:to>
    <xdr:sp macro="" textlink="">
      <xdr:nvSpPr>
        <xdr:cNvPr id="4" name="Left-Right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6644640"/>
          <a:ext cx="822960" cy="55626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495299</xdr:colOff>
      <xdr:row>30</xdr:row>
      <xdr:rowOff>38100</xdr:rowOff>
    </xdr:from>
    <xdr:to>
      <xdr:col>14</xdr:col>
      <xdr:colOff>123824</xdr:colOff>
      <xdr:row>47</xdr:row>
      <xdr:rowOff>147637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371475</xdr:colOff>
      <xdr:row>48</xdr:row>
      <xdr:rowOff>119061</xdr:rowOff>
    </xdr:from>
    <xdr:to>
      <xdr:col>14</xdr:col>
      <xdr:colOff>180975</xdr:colOff>
      <xdr:row>66</xdr:row>
      <xdr:rowOff>66674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365125</xdr:colOff>
      <xdr:row>3</xdr:row>
      <xdr:rowOff>147636</xdr:rowOff>
    </xdr:from>
    <xdr:to>
      <xdr:col>32</xdr:col>
      <xdr:colOff>612775</xdr:colOff>
      <xdr:row>31</xdr:row>
      <xdr:rowOff>57149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7A6676-F556-3153-EA23-FE0DD0158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16</xdr:row>
      <xdr:rowOff>87630</xdr:rowOff>
    </xdr:from>
    <xdr:to>
      <xdr:col>9</xdr:col>
      <xdr:colOff>66675</xdr:colOff>
      <xdr:row>30</xdr:row>
      <xdr:rowOff>163830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24765</xdr:colOff>
      <xdr:row>1</xdr:row>
      <xdr:rowOff>13335</xdr:rowOff>
    </xdr:from>
    <xdr:to>
      <xdr:col>15</xdr:col>
      <xdr:colOff>24765</xdr:colOff>
      <xdr:row>15</xdr:row>
      <xdr:rowOff>3810</xdr:rowOff>
    </xdr:to>
    <xdr:graphicFrame macro="">
      <xdr:nvGraphicFramePr>
        <xdr:cNvPr id="8" name="7 Gráfico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175260</xdr:colOff>
      <xdr:row>16</xdr:row>
      <xdr:rowOff>76200</xdr:rowOff>
    </xdr:from>
    <xdr:to>
      <xdr:col>15</xdr:col>
      <xdr:colOff>175260</xdr:colOff>
      <xdr:row>30</xdr:row>
      <xdr:rowOff>152400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125730</xdr:colOff>
      <xdr:row>0</xdr:row>
      <xdr:rowOff>167640</xdr:rowOff>
    </xdr:from>
    <xdr:to>
      <xdr:col>8</xdr:col>
      <xdr:colOff>735330</xdr:colOff>
      <xdr:row>15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314325</xdr:colOff>
      <xdr:row>11</xdr:row>
      <xdr:rowOff>0</xdr:rowOff>
    </xdr:from>
    <xdr:to>
      <xdr:col>2</xdr:col>
      <xdr:colOff>425094</xdr:colOff>
      <xdr:row>16</xdr:row>
      <xdr:rowOff>91440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14325" y="2200275"/>
          <a:ext cx="1787169" cy="104394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24</xdr:col>
      <xdr:colOff>491677</xdr:colOff>
      <xdr:row>18</xdr:row>
      <xdr:rowOff>92037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90480" y="198120"/>
          <a:ext cx="5246557" cy="3200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28</xdr:col>
      <xdr:colOff>334283</xdr:colOff>
      <xdr:row>36</xdr:row>
      <xdr:rowOff>124233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1FB80D-7D9B-43A9-9AD6-F3EDDE711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0" y="4400550"/>
          <a:ext cx="6506483" cy="29245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1</xdr:row>
      <xdr:rowOff>0</xdr:rowOff>
    </xdr:from>
    <xdr:to>
      <xdr:col>35</xdr:col>
      <xdr:colOff>537397</xdr:colOff>
      <xdr:row>17</xdr:row>
      <xdr:rowOff>31077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38080" y="182880"/>
          <a:ext cx="5246557" cy="3200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1%20TRAMO%201%20DOBLE%20VIA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2%20TRAMO%201%20DOBLE%20VI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3%20TRAMO%201%20DOBLE%20V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4%20TRAMO%201%20DOBLE%20VIA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5%20TRAMO%201%20DOBLE%20VIA%20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6%20TRAMO%201%20DOBLE%20VIA%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7%20TRAMO%201%20DOBLE%20VIA%20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ONFITAL -CAIHUASI "/>
      <sheetName val="Ambos lados"/>
    </sheetNames>
    <sheetDataSet>
      <sheetData sheetId="0">
        <row r="10">
          <cell r="B10" t="str">
            <v>AUTOMÓVILES VAGONETAS Y JEEP</v>
          </cell>
        </row>
        <row r="35">
          <cell r="B35">
            <v>549</v>
          </cell>
          <cell r="C35">
            <v>94</v>
          </cell>
          <cell r="D35">
            <v>323</v>
          </cell>
          <cell r="E35">
            <v>0</v>
          </cell>
          <cell r="F35">
            <v>40</v>
          </cell>
          <cell r="G35">
            <v>268</v>
          </cell>
          <cell r="H35">
            <v>44</v>
          </cell>
          <cell r="I35">
            <v>110</v>
          </cell>
          <cell r="J35">
            <v>219</v>
          </cell>
          <cell r="K35">
            <v>313</v>
          </cell>
          <cell r="L35">
            <v>88</v>
          </cell>
          <cell r="M35">
            <v>10</v>
          </cell>
          <cell r="N35">
            <v>0</v>
          </cell>
        </row>
      </sheetData>
      <sheetData sheetId="1"/>
      <sheetData sheetId="2">
        <row r="11">
          <cell r="B11">
            <v>5</v>
          </cell>
        </row>
        <row r="35">
          <cell r="B35">
            <v>531</v>
          </cell>
          <cell r="C35">
            <v>87</v>
          </cell>
          <cell r="D35">
            <v>247</v>
          </cell>
          <cell r="E35">
            <v>3</v>
          </cell>
          <cell r="F35">
            <v>26</v>
          </cell>
          <cell r="G35">
            <v>208</v>
          </cell>
          <cell r="H35">
            <v>22</v>
          </cell>
          <cell r="I35">
            <v>68</v>
          </cell>
          <cell r="J35">
            <v>170</v>
          </cell>
          <cell r="K35">
            <v>266</v>
          </cell>
          <cell r="L35">
            <v>68</v>
          </cell>
          <cell r="M35">
            <v>8</v>
          </cell>
          <cell r="N35">
            <v>0</v>
          </cell>
        </row>
      </sheetData>
      <sheetData sheetId="3"/>
      <sheetData sheetId="4">
        <row r="11">
          <cell r="B11">
            <v>11</v>
          </cell>
          <cell r="C11">
            <v>2</v>
          </cell>
          <cell r="D11">
            <v>9</v>
          </cell>
          <cell r="E11">
            <v>0</v>
          </cell>
          <cell r="F11">
            <v>0</v>
          </cell>
          <cell r="G11">
            <v>23</v>
          </cell>
          <cell r="H11">
            <v>0</v>
          </cell>
          <cell r="I11">
            <v>0</v>
          </cell>
          <cell r="J11">
            <v>19</v>
          </cell>
          <cell r="K11">
            <v>22</v>
          </cell>
          <cell r="L11">
            <v>7</v>
          </cell>
          <cell r="M11">
            <v>0</v>
          </cell>
          <cell r="N11">
            <v>0</v>
          </cell>
          <cell r="O11">
            <v>93</v>
          </cell>
        </row>
        <row r="12">
          <cell r="B12">
            <v>7</v>
          </cell>
          <cell r="C12">
            <v>0</v>
          </cell>
          <cell r="D12">
            <v>18</v>
          </cell>
          <cell r="E12">
            <v>0</v>
          </cell>
          <cell r="F12">
            <v>0</v>
          </cell>
          <cell r="G12">
            <v>22</v>
          </cell>
          <cell r="H12">
            <v>0</v>
          </cell>
          <cell r="I12">
            <v>0</v>
          </cell>
          <cell r="J12">
            <v>15</v>
          </cell>
          <cell r="K12">
            <v>18</v>
          </cell>
          <cell r="L12">
            <v>10</v>
          </cell>
          <cell r="M12">
            <v>0</v>
          </cell>
          <cell r="N12">
            <v>0</v>
          </cell>
          <cell r="O12">
            <v>90</v>
          </cell>
        </row>
        <row r="13">
          <cell r="B13">
            <v>13</v>
          </cell>
          <cell r="C13">
            <v>0</v>
          </cell>
          <cell r="D13">
            <v>12</v>
          </cell>
          <cell r="E13">
            <v>0</v>
          </cell>
          <cell r="F13">
            <v>0</v>
          </cell>
          <cell r="G13">
            <v>19</v>
          </cell>
          <cell r="H13">
            <v>0</v>
          </cell>
          <cell r="I13">
            <v>2</v>
          </cell>
          <cell r="J13">
            <v>20</v>
          </cell>
          <cell r="K13">
            <v>21</v>
          </cell>
          <cell r="L13">
            <v>6</v>
          </cell>
          <cell r="M13">
            <v>0</v>
          </cell>
          <cell r="N13">
            <v>0</v>
          </cell>
          <cell r="O13">
            <v>93</v>
          </cell>
        </row>
        <row r="14">
          <cell r="B14">
            <v>15</v>
          </cell>
          <cell r="C14">
            <v>3</v>
          </cell>
          <cell r="D14">
            <v>7</v>
          </cell>
          <cell r="E14">
            <v>0</v>
          </cell>
          <cell r="F14">
            <v>7</v>
          </cell>
          <cell r="G14">
            <v>29</v>
          </cell>
          <cell r="H14">
            <v>4</v>
          </cell>
          <cell r="I14">
            <v>6</v>
          </cell>
          <cell r="J14">
            <v>10</v>
          </cell>
          <cell r="K14">
            <v>14</v>
          </cell>
          <cell r="L14">
            <v>8</v>
          </cell>
          <cell r="M14">
            <v>0</v>
          </cell>
          <cell r="N14">
            <v>0</v>
          </cell>
          <cell r="O14">
            <v>103</v>
          </cell>
        </row>
        <row r="15">
          <cell r="B15">
            <v>15</v>
          </cell>
          <cell r="C15">
            <v>4</v>
          </cell>
          <cell r="D15">
            <v>5</v>
          </cell>
          <cell r="E15">
            <v>0</v>
          </cell>
          <cell r="F15">
            <v>3</v>
          </cell>
          <cell r="G15">
            <v>20</v>
          </cell>
          <cell r="H15">
            <v>3</v>
          </cell>
          <cell r="I15">
            <v>8</v>
          </cell>
          <cell r="J15">
            <v>13</v>
          </cell>
          <cell r="K15">
            <v>16</v>
          </cell>
          <cell r="L15">
            <v>9</v>
          </cell>
          <cell r="M15">
            <v>0</v>
          </cell>
          <cell r="N15">
            <v>0</v>
          </cell>
          <cell r="O15">
            <v>96</v>
          </cell>
        </row>
        <row r="16">
          <cell r="B16">
            <v>31</v>
          </cell>
          <cell r="C16">
            <v>9</v>
          </cell>
          <cell r="D16">
            <v>21</v>
          </cell>
          <cell r="E16">
            <v>0</v>
          </cell>
          <cell r="F16">
            <v>3</v>
          </cell>
          <cell r="G16">
            <v>16</v>
          </cell>
          <cell r="H16">
            <v>11</v>
          </cell>
          <cell r="I16">
            <v>10</v>
          </cell>
          <cell r="J16">
            <v>15</v>
          </cell>
          <cell r="K16">
            <v>24</v>
          </cell>
          <cell r="L16">
            <v>21</v>
          </cell>
          <cell r="M16">
            <v>0</v>
          </cell>
          <cell r="N16">
            <v>0</v>
          </cell>
          <cell r="O16">
            <v>161</v>
          </cell>
        </row>
        <row r="17">
          <cell r="B17">
            <v>40</v>
          </cell>
          <cell r="C17">
            <v>5</v>
          </cell>
          <cell r="D17">
            <v>40</v>
          </cell>
          <cell r="E17">
            <v>1</v>
          </cell>
          <cell r="F17">
            <v>6</v>
          </cell>
          <cell r="G17">
            <v>26</v>
          </cell>
          <cell r="H17">
            <v>2</v>
          </cell>
          <cell r="I17">
            <v>12</v>
          </cell>
          <cell r="J17">
            <v>21</v>
          </cell>
          <cell r="K17">
            <v>21</v>
          </cell>
          <cell r="L17">
            <v>10</v>
          </cell>
          <cell r="M17">
            <v>1</v>
          </cell>
          <cell r="N17">
            <v>0</v>
          </cell>
          <cell r="O17">
            <v>185</v>
          </cell>
        </row>
        <row r="18">
          <cell r="B18">
            <v>43</v>
          </cell>
          <cell r="C18">
            <v>11</v>
          </cell>
          <cell r="D18">
            <v>14</v>
          </cell>
          <cell r="E18">
            <v>1</v>
          </cell>
          <cell r="F18">
            <v>2</v>
          </cell>
          <cell r="G18">
            <v>18</v>
          </cell>
          <cell r="H18">
            <v>3</v>
          </cell>
          <cell r="I18">
            <v>1</v>
          </cell>
          <cell r="J18">
            <v>18</v>
          </cell>
          <cell r="K18">
            <v>23</v>
          </cell>
          <cell r="L18">
            <v>3</v>
          </cell>
          <cell r="M18">
            <v>1</v>
          </cell>
          <cell r="N18">
            <v>0</v>
          </cell>
          <cell r="O18">
            <v>138</v>
          </cell>
        </row>
        <row r="19">
          <cell r="B19">
            <v>49</v>
          </cell>
          <cell r="C19">
            <v>13</v>
          </cell>
          <cell r="D19">
            <v>18</v>
          </cell>
          <cell r="E19">
            <v>0</v>
          </cell>
          <cell r="F19">
            <v>4</v>
          </cell>
          <cell r="G19">
            <v>9</v>
          </cell>
          <cell r="H19">
            <v>1</v>
          </cell>
          <cell r="I19">
            <v>4</v>
          </cell>
          <cell r="J19">
            <v>4</v>
          </cell>
          <cell r="K19">
            <v>12</v>
          </cell>
          <cell r="L19">
            <v>2</v>
          </cell>
          <cell r="M19">
            <v>0</v>
          </cell>
          <cell r="N19">
            <v>0</v>
          </cell>
          <cell r="O19">
            <v>116</v>
          </cell>
        </row>
        <row r="20">
          <cell r="B20">
            <v>28</v>
          </cell>
          <cell r="C20">
            <v>9</v>
          </cell>
          <cell r="D20">
            <v>22</v>
          </cell>
          <cell r="E20">
            <v>0</v>
          </cell>
          <cell r="F20">
            <v>7</v>
          </cell>
          <cell r="G20">
            <v>28</v>
          </cell>
          <cell r="H20">
            <v>1</v>
          </cell>
          <cell r="I20">
            <v>11</v>
          </cell>
          <cell r="J20">
            <v>27</v>
          </cell>
          <cell r="K20">
            <v>21</v>
          </cell>
          <cell r="L20">
            <v>7</v>
          </cell>
          <cell r="M20">
            <v>0</v>
          </cell>
          <cell r="N20">
            <v>0</v>
          </cell>
          <cell r="O20">
            <v>161</v>
          </cell>
        </row>
        <row r="21">
          <cell r="B21">
            <v>29</v>
          </cell>
          <cell r="C21">
            <v>7</v>
          </cell>
          <cell r="D21">
            <v>36</v>
          </cell>
          <cell r="E21">
            <v>0</v>
          </cell>
          <cell r="F21">
            <v>8</v>
          </cell>
          <cell r="G21">
            <v>26</v>
          </cell>
          <cell r="H21">
            <v>2</v>
          </cell>
          <cell r="I21">
            <v>15</v>
          </cell>
          <cell r="J21">
            <v>19</v>
          </cell>
          <cell r="K21">
            <v>27</v>
          </cell>
          <cell r="L21">
            <v>10</v>
          </cell>
          <cell r="M21">
            <v>2</v>
          </cell>
          <cell r="N21">
            <v>0</v>
          </cell>
          <cell r="O21">
            <v>181</v>
          </cell>
        </row>
        <row r="22">
          <cell r="B22">
            <v>30</v>
          </cell>
          <cell r="C22">
            <v>10</v>
          </cell>
          <cell r="D22">
            <v>19</v>
          </cell>
          <cell r="E22">
            <v>0</v>
          </cell>
          <cell r="F22">
            <v>0</v>
          </cell>
          <cell r="G22">
            <v>27</v>
          </cell>
          <cell r="H22">
            <v>1</v>
          </cell>
          <cell r="I22">
            <v>1</v>
          </cell>
          <cell r="J22">
            <v>14</v>
          </cell>
          <cell r="K22">
            <v>15</v>
          </cell>
          <cell r="L22">
            <v>3</v>
          </cell>
          <cell r="M22">
            <v>3</v>
          </cell>
          <cell r="N22">
            <v>0</v>
          </cell>
          <cell r="O22">
            <v>123</v>
          </cell>
        </row>
        <row r="23">
          <cell r="B23">
            <v>72</v>
          </cell>
          <cell r="C23">
            <v>9</v>
          </cell>
          <cell r="D23">
            <v>36</v>
          </cell>
          <cell r="E23">
            <v>0</v>
          </cell>
          <cell r="F23">
            <v>5</v>
          </cell>
          <cell r="G23">
            <v>21</v>
          </cell>
          <cell r="H23">
            <v>8</v>
          </cell>
          <cell r="I23">
            <v>5</v>
          </cell>
          <cell r="J23">
            <v>10</v>
          </cell>
          <cell r="K23">
            <v>9</v>
          </cell>
          <cell r="L23">
            <v>2</v>
          </cell>
          <cell r="M23">
            <v>3</v>
          </cell>
          <cell r="N23">
            <v>0</v>
          </cell>
          <cell r="O23">
            <v>180</v>
          </cell>
        </row>
        <row r="24">
          <cell r="B24">
            <v>75</v>
          </cell>
          <cell r="C24">
            <v>9</v>
          </cell>
          <cell r="D24">
            <v>47</v>
          </cell>
          <cell r="E24">
            <v>0</v>
          </cell>
          <cell r="F24">
            <v>1</v>
          </cell>
          <cell r="G24">
            <v>23</v>
          </cell>
          <cell r="H24">
            <v>3</v>
          </cell>
          <cell r="I24">
            <v>7</v>
          </cell>
          <cell r="J24">
            <v>18</v>
          </cell>
          <cell r="K24">
            <v>17</v>
          </cell>
          <cell r="L24">
            <v>2</v>
          </cell>
          <cell r="M24">
            <v>0</v>
          </cell>
          <cell r="N24">
            <v>0</v>
          </cell>
          <cell r="O24">
            <v>202</v>
          </cell>
        </row>
        <row r="25">
          <cell r="B25">
            <v>85</v>
          </cell>
          <cell r="C25">
            <v>7</v>
          </cell>
          <cell r="D25">
            <v>36</v>
          </cell>
          <cell r="E25">
            <v>1</v>
          </cell>
          <cell r="F25">
            <v>1</v>
          </cell>
          <cell r="G25">
            <v>14</v>
          </cell>
          <cell r="H25">
            <v>4</v>
          </cell>
          <cell r="I25">
            <v>7</v>
          </cell>
          <cell r="J25">
            <v>10</v>
          </cell>
          <cell r="K25">
            <v>18</v>
          </cell>
          <cell r="L25">
            <v>1</v>
          </cell>
          <cell r="M25">
            <v>4</v>
          </cell>
          <cell r="N25">
            <v>0</v>
          </cell>
          <cell r="O25">
            <v>188</v>
          </cell>
        </row>
        <row r="26">
          <cell r="B26">
            <v>79</v>
          </cell>
          <cell r="C26">
            <v>11</v>
          </cell>
          <cell r="D26">
            <v>41</v>
          </cell>
          <cell r="E26">
            <v>0</v>
          </cell>
          <cell r="F26">
            <v>2</v>
          </cell>
          <cell r="G26">
            <v>16</v>
          </cell>
          <cell r="H26">
            <v>4</v>
          </cell>
          <cell r="I26">
            <v>5</v>
          </cell>
          <cell r="J26">
            <v>24</v>
          </cell>
          <cell r="K26">
            <v>22</v>
          </cell>
          <cell r="L26">
            <v>4</v>
          </cell>
          <cell r="M26">
            <v>1</v>
          </cell>
          <cell r="N26">
            <v>0</v>
          </cell>
          <cell r="O26">
            <v>209</v>
          </cell>
        </row>
        <row r="27">
          <cell r="B27">
            <v>101</v>
          </cell>
          <cell r="C27">
            <v>16</v>
          </cell>
          <cell r="D27">
            <v>37</v>
          </cell>
          <cell r="E27">
            <v>0</v>
          </cell>
          <cell r="F27">
            <v>2</v>
          </cell>
          <cell r="G27">
            <v>23</v>
          </cell>
          <cell r="H27">
            <v>2</v>
          </cell>
          <cell r="I27">
            <v>16</v>
          </cell>
          <cell r="J27">
            <v>9</v>
          </cell>
          <cell r="K27">
            <v>36</v>
          </cell>
          <cell r="L27">
            <v>4</v>
          </cell>
          <cell r="M27">
            <v>0</v>
          </cell>
          <cell r="N27">
            <v>0</v>
          </cell>
          <cell r="O27">
            <v>246</v>
          </cell>
        </row>
        <row r="28">
          <cell r="B28">
            <v>81</v>
          </cell>
          <cell r="C28">
            <v>11</v>
          </cell>
          <cell r="D28">
            <v>34</v>
          </cell>
          <cell r="E28">
            <v>0</v>
          </cell>
          <cell r="F28">
            <v>2</v>
          </cell>
          <cell r="G28">
            <v>19</v>
          </cell>
          <cell r="H28">
            <v>1</v>
          </cell>
          <cell r="I28">
            <v>12</v>
          </cell>
          <cell r="J28">
            <v>16</v>
          </cell>
          <cell r="K28">
            <v>21</v>
          </cell>
          <cell r="L28">
            <v>5</v>
          </cell>
          <cell r="M28">
            <v>0</v>
          </cell>
          <cell r="N28">
            <v>0</v>
          </cell>
          <cell r="O28">
            <v>202</v>
          </cell>
        </row>
        <row r="29">
          <cell r="B29">
            <v>65</v>
          </cell>
          <cell r="C29">
            <v>15</v>
          </cell>
          <cell r="D29">
            <v>36</v>
          </cell>
          <cell r="E29">
            <v>0</v>
          </cell>
          <cell r="F29">
            <v>1</v>
          </cell>
          <cell r="G29">
            <v>15</v>
          </cell>
          <cell r="H29">
            <v>4</v>
          </cell>
          <cell r="I29">
            <v>10</v>
          </cell>
          <cell r="J29">
            <v>17</v>
          </cell>
          <cell r="K29">
            <v>38</v>
          </cell>
          <cell r="L29">
            <v>7</v>
          </cell>
          <cell r="M29">
            <v>0</v>
          </cell>
          <cell r="N29">
            <v>0</v>
          </cell>
          <cell r="O29">
            <v>208</v>
          </cell>
        </row>
        <row r="30">
          <cell r="B30">
            <v>60</v>
          </cell>
          <cell r="C30">
            <v>12</v>
          </cell>
          <cell r="D30">
            <v>20</v>
          </cell>
          <cell r="E30">
            <v>0</v>
          </cell>
          <cell r="F30">
            <v>2</v>
          </cell>
          <cell r="G30">
            <v>18</v>
          </cell>
          <cell r="H30">
            <v>6</v>
          </cell>
          <cell r="I30">
            <v>17</v>
          </cell>
          <cell r="J30">
            <v>19</v>
          </cell>
          <cell r="K30">
            <v>29</v>
          </cell>
          <cell r="L30">
            <v>10</v>
          </cell>
          <cell r="M30">
            <v>0</v>
          </cell>
          <cell r="N30">
            <v>0</v>
          </cell>
          <cell r="O30">
            <v>193</v>
          </cell>
        </row>
        <row r="31">
          <cell r="B31">
            <v>63</v>
          </cell>
          <cell r="C31">
            <v>5</v>
          </cell>
          <cell r="D31">
            <v>25</v>
          </cell>
          <cell r="E31">
            <v>0</v>
          </cell>
          <cell r="F31">
            <v>0</v>
          </cell>
          <cell r="G31">
            <v>17</v>
          </cell>
          <cell r="H31">
            <v>3</v>
          </cell>
          <cell r="I31">
            <v>9</v>
          </cell>
          <cell r="J31">
            <v>18</v>
          </cell>
          <cell r="K31">
            <v>46</v>
          </cell>
          <cell r="L31">
            <v>7</v>
          </cell>
          <cell r="M31">
            <v>1</v>
          </cell>
          <cell r="N31">
            <v>0</v>
          </cell>
          <cell r="O31">
            <v>194</v>
          </cell>
        </row>
        <row r="32">
          <cell r="B32">
            <v>49</v>
          </cell>
          <cell r="C32">
            <v>8</v>
          </cell>
          <cell r="D32">
            <v>16</v>
          </cell>
          <cell r="E32">
            <v>0</v>
          </cell>
          <cell r="F32">
            <v>2</v>
          </cell>
          <cell r="G32">
            <v>16</v>
          </cell>
          <cell r="H32">
            <v>1</v>
          </cell>
          <cell r="I32">
            <v>8</v>
          </cell>
          <cell r="J32">
            <v>24</v>
          </cell>
          <cell r="K32">
            <v>35</v>
          </cell>
          <cell r="L32">
            <v>7</v>
          </cell>
          <cell r="M32">
            <v>2</v>
          </cell>
          <cell r="N32">
            <v>0</v>
          </cell>
          <cell r="O32">
            <v>168</v>
          </cell>
        </row>
        <row r="33">
          <cell r="B33">
            <v>19</v>
          </cell>
          <cell r="C33">
            <v>3</v>
          </cell>
          <cell r="D33">
            <v>7</v>
          </cell>
          <cell r="E33">
            <v>0</v>
          </cell>
          <cell r="F33">
            <v>2</v>
          </cell>
          <cell r="G33">
            <v>13</v>
          </cell>
          <cell r="H33">
            <v>2</v>
          </cell>
          <cell r="I33">
            <v>5</v>
          </cell>
          <cell r="J33">
            <v>20</v>
          </cell>
          <cell r="K33">
            <v>33</v>
          </cell>
          <cell r="L33">
            <v>6</v>
          </cell>
          <cell r="M33">
            <v>0</v>
          </cell>
          <cell r="N33">
            <v>0</v>
          </cell>
          <cell r="O33">
            <v>110</v>
          </cell>
        </row>
        <row r="34">
          <cell r="B34">
            <v>20</v>
          </cell>
          <cell r="C34">
            <v>2</v>
          </cell>
          <cell r="D34">
            <v>14</v>
          </cell>
          <cell r="E34">
            <v>0</v>
          </cell>
          <cell r="F34">
            <v>6</v>
          </cell>
          <cell r="G34">
            <v>18</v>
          </cell>
          <cell r="H34">
            <v>0</v>
          </cell>
          <cell r="I34">
            <v>7</v>
          </cell>
          <cell r="J34">
            <v>9</v>
          </cell>
          <cell r="K34">
            <v>41</v>
          </cell>
          <cell r="L34">
            <v>5</v>
          </cell>
          <cell r="M34">
            <v>0</v>
          </cell>
          <cell r="N34">
            <v>0</v>
          </cell>
          <cell r="O34">
            <v>122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 CONFITAL - CAIHUASI "/>
      <sheetName val="Ambos lados"/>
    </sheetNames>
    <sheetDataSet>
      <sheetData sheetId="0">
        <row r="10">
          <cell r="B10" t="str">
            <v>AUTOMÓVILES VAGONETAS Y JEEP</v>
          </cell>
        </row>
        <row r="35">
          <cell r="B35">
            <v>642</v>
          </cell>
          <cell r="C35">
            <v>74</v>
          </cell>
          <cell r="D35">
            <v>273</v>
          </cell>
          <cell r="E35">
            <v>0</v>
          </cell>
          <cell r="F35">
            <v>48</v>
          </cell>
          <cell r="G35">
            <v>245</v>
          </cell>
          <cell r="H35">
            <v>20</v>
          </cell>
          <cell r="I35">
            <v>109</v>
          </cell>
          <cell r="J35">
            <v>135</v>
          </cell>
          <cell r="K35">
            <v>209</v>
          </cell>
          <cell r="L35">
            <v>42</v>
          </cell>
          <cell r="M35">
            <v>13</v>
          </cell>
          <cell r="N35">
            <v>0</v>
          </cell>
        </row>
      </sheetData>
      <sheetData sheetId="1"/>
      <sheetData sheetId="2">
        <row r="11">
          <cell r="B11">
            <v>11</v>
          </cell>
        </row>
        <row r="35">
          <cell r="B35">
            <v>781</v>
          </cell>
          <cell r="C35">
            <v>103</v>
          </cell>
          <cell r="D35">
            <v>295</v>
          </cell>
          <cell r="E35">
            <v>1</v>
          </cell>
          <cell r="F35">
            <v>34</v>
          </cell>
          <cell r="G35">
            <v>293</v>
          </cell>
          <cell r="H35">
            <v>29</v>
          </cell>
          <cell r="I35">
            <v>99</v>
          </cell>
          <cell r="J35">
            <v>181</v>
          </cell>
          <cell r="K35">
            <v>283</v>
          </cell>
          <cell r="L35">
            <v>52</v>
          </cell>
          <cell r="M35">
            <v>18</v>
          </cell>
          <cell r="N35">
            <v>0</v>
          </cell>
        </row>
      </sheetData>
      <sheetData sheetId="3"/>
      <sheetData sheetId="4">
        <row r="11">
          <cell r="B11">
            <v>19</v>
          </cell>
          <cell r="C11">
            <v>7</v>
          </cell>
          <cell r="D11">
            <v>7</v>
          </cell>
          <cell r="E11">
            <v>0</v>
          </cell>
          <cell r="F11">
            <v>6</v>
          </cell>
          <cell r="G11">
            <v>15</v>
          </cell>
          <cell r="H11">
            <v>2</v>
          </cell>
          <cell r="I11">
            <v>7</v>
          </cell>
          <cell r="J11">
            <v>24</v>
          </cell>
          <cell r="K11">
            <v>19</v>
          </cell>
          <cell r="L11">
            <v>4</v>
          </cell>
          <cell r="M11">
            <v>1</v>
          </cell>
          <cell r="N11">
            <v>0</v>
          </cell>
          <cell r="O11">
            <v>111</v>
          </cell>
        </row>
        <row r="12">
          <cell r="B12">
            <v>19</v>
          </cell>
          <cell r="C12">
            <v>2</v>
          </cell>
          <cell r="D12">
            <v>6</v>
          </cell>
          <cell r="E12">
            <v>0</v>
          </cell>
          <cell r="F12">
            <v>6</v>
          </cell>
          <cell r="G12">
            <v>39</v>
          </cell>
          <cell r="H12">
            <v>1</v>
          </cell>
          <cell r="I12">
            <v>9</v>
          </cell>
          <cell r="J12">
            <v>15</v>
          </cell>
          <cell r="K12">
            <v>10</v>
          </cell>
          <cell r="L12">
            <v>3</v>
          </cell>
          <cell r="M12">
            <v>0</v>
          </cell>
          <cell r="N12">
            <v>0</v>
          </cell>
          <cell r="O12">
            <v>110</v>
          </cell>
        </row>
        <row r="13">
          <cell r="B13">
            <v>13</v>
          </cell>
          <cell r="C13">
            <v>3</v>
          </cell>
          <cell r="D13">
            <v>5</v>
          </cell>
          <cell r="E13">
            <v>0</v>
          </cell>
          <cell r="F13">
            <v>4</v>
          </cell>
          <cell r="G13">
            <v>56</v>
          </cell>
          <cell r="H13">
            <v>1</v>
          </cell>
          <cell r="I13">
            <v>4</v>
          </cell>
          <cell r="J13">
            <v>9</v>
          </cell>
          <cell r="K13">
            <v>7</v>
          </cell>
          <cell r="L13">
            <v>2</v>
          </cell>
          <cell r="M13">
            <v>0</v>
          </cell>
          <cell r="N13">
            <v>0</v>
          </cell>
          <cell r="O13">
            <v>104</v>
          </cell>
        </row>
        <row r="14">
          <cell r="B14">
            <v>20</v>
          </cell>
          <cell r="C14">
            <v>2</v>
          </cell>
          <cell r="D14">
            <v>12</v>
          </cell>
          <cell r="E14">
            <v>0</v>
          </cell>
          <cell r="F14">
            <v>1</v>
          </cell>
          <cell r="G14">
            <v>31</v>
          </cell>
          <cell r="H14">
            <v>0</v>
          </cell>
          <cell r="I14">
            <v>4</v>
          </cell>
          <cell r="J14">
            <v>9</v>
          </cell>
          <cell r="K14">
            <v>7</v>
          </cell>
          <cell r="L14">
            <v>1</v>
          </cell>
          <cell r="M14">
            <v>0</v>
          </cell>
          <cell r="N14">
            <v>0</v>
          </cell>
          <cell r="O14">
            <v>87</v>
          </cell>
        </row>
        <row r="15">
          <cell r="B15">
            <v>15</v>
          </cell>
          <cell r="C15">
            <v>9</v>
          </cell>
          <cell r="D15">
            <v>12</v>
          </cell>
          <cell r="E15">
            <v>0</v>
          </cell>
          <cell r="F15">
            <v>1</v>
          </cell>
          <cell r="G15">
            <v>19</v>
          </cell>
          <cell r="H15">
            <v>2</v>
          </cell>
          <cell r="I15">
            <v>14</v>
          </cell>
          <cell r="J15">
            <v>16</v>
          </cell>
          <cell r="K15">
            <v>17</v>
          </cell>
          <cell r="L15">
            <v>4</v>
          </cell>
          <cell r="M15">
            <v>0</v>
          </cell>
          <cell r="N15">
            <v>0</v>
          </cell>
          <cell r="O15">
            <v>109</v>
          </cell>
        </row>
        <row r="16">
          <cell r="B16">
            <v>25</v>
          </cell>
          <cell r="C16">
            <v>7</v>
          </cell>
          <cell r="D16">
            <v>19</v>
          </cell>
          <cell r="E16">
            <v>0</v>
          </cell>
          <cell r="F16">
            <v>5</v>
          </cell>
          <cell r="G16">
            <v>10</v>
          </cell>
          <cell r="H16">
            <v>4</v>
          </cell>
          <cell r="I16">
            <v>18</v>
          </cell>
          <cell r="J16">
            <v>25</v>
          </cell>
          <cell r="K16">
            <v>39</v>
          </cell>
          <cell r="L16">
            <v>6</v>
          </cell>
          <cell r="M16">
            <v>2</v>
          </cell>
          <cell r="N16">
            <v>0</v>
          </cell>
          <cell r="O16">
            <v>160</v>
          </cell>
        </row>
        <row r="17">
          <cell r="B17">
            <v>49</v>
          </cell>
          <cell r="C17">
            <v>2</v>
          </cell>
          <cell r="D17">
            <v>27</v>
          </cell>
          <cell r="E17">
            <v>0</v>
          </cell>
          <cell r="F17">
            <v>1</v>
          </cell>
          <cell r="G17">
            <v>9</v>
          </cell>
          <cell r="H17">
            <v>2</v>
          </cell>
          <cell r="I17">
            <v>7</v>
          </cell>
          <cell r="J17">
            <v>18</v>
          </cell>
          <cell r="K17">
            <v>18</v>
          </cell>
          <cell r="L17">
            <v>4</v>
          </cell>
          <cell r="M17">
            <v>4</v>
          </cell>
          <cell r="N17">
            <v>0</v>
          </cell>
          <cell r="O17">
            <v>141</v>
          </cell>
        </row>
        <row r="18">
          <cell r="B18">
            <v>38</v>
          </cell>
          <cell r="C18">
            <v>6</v>
          </cell>
          <cell r="D18">
            <v>26</v>
          </cell>
          <cell r="E18">
            <v>0</v>
          </cell>
          <cell r="F18">
            <v>2</v>
          </cell>
          <cell r="G18">
            <v>10</v>
          </cell>
          <cell r="H18">
            <v>2</v>
          </cell>
          <cell r="I18">
            <v>8</v>
          </cell>
          <cell r="J18">
            <v>12</v>
          </cell>
          <cell r="K18">
            <v>29</v>
          </cell>
          <cell r="L18">
            <v>3</v>
          </cell>
          <cell r="M18">
            <v>0</v>
          </cell>
          <cell r="N18">
            <v>0</v>
          </cell>
          <cell r="O18">
            <v>136</v>
          </cell>
        </row>
        <row r="19">
          <cell r="B19">
            <v>71</v>
          </cell>
          <cell r="C19">
            <v>12</v>
          </cell>
          <cell r="D19">
            <v>31</v>
          </cell>
          <cell r="E19">
            <v>0</v>
          </cell>
          <cell r="F19">
            <v>1</v>
          </cell>
          <cell r="G19">
            <v>10</v>
          </cell>
          <cell r="H19">
            <v>4</v>
          </cell>
          <cell r="I19">
            <v>6</v>
          </cell>
          <cell r="J19">
            <v>10</v>
          </cell>
          <cell r="K19">
            <v>28</v>
          </cell>
          <cell r="L19">
            <v>5</v>
          </cell>
          <cell r="M19">
            <v>4</v>
          </cell>
          <cell r="N19">
            <v>0</v>
          </cell>
          <cell r="O19">
            <v>182</v>
          </cell>
        </row>
        <row r="20">
          <cell r="B20">
            <v>65</v>
          </cell>
          <cell r="C20">
            <v>9</v>
          </cell>
          <cell r="D20">
            <v>35</v>
          </cell>
          <cell r="E20">
            <v>0</v>
          </cell>
          <cell r="F20">
            <v>0</v>
          </cell>
          <cell r="G20">
            <v>12</v>
          </cell>
          <cell r="H20">
            <v>2</v>
          </cell>
          <cell r="I20">
            <v>8</v>
          </cell>
          <cell r="J20">
            <v>7</v>
          </cell>
          <cell r="K20">
            <v>21</v>
          </cell>
          <cell r="L20">
            <v>3</v>
          </cell>
          <cell r="M20">
            <v>0</v>
          </cell>
          <cell r="N20">
            <v>0</v>
          </cell>
          <cell r="O20">
            <v>162</v>
          </cell>
        </row>
        <row r="21">
          <cell r="B21">
            <v>67</v>
          </cell>
          <cell r="C21">
            <v>5</v>
          </cell>
          <cell r="D21">
            <v>29</v>
          </cell>
          <cell r="E21">
            <v>0</v>
          </cell>
          <cell r="F21">
            <v>5</v>
          </cell>
          <cell r="G21">
            <v>20</v>
          </cell>
          <cell r="H21">
            <v>1</v>
          </cell>
          <cell r="I21">
            <v>5</v>
          </cell>
          <cell r="J21">
            <v>8</v>
          </cell>
          <cell r="K21">
            <v>13</v>
          </cell>
          <cell r="L21">
            <v>1</v>
          </cell>
          <cell r="M21">
            <v>2</v>
          </cell>
          <cell r="N21">
            <v>0</v>
          </cell>
          <cell r="O21">
            <v>156</v>
          </cell>
        </row>
        <row r="22">
          <cell r="B22">
            <v>84</v>
          </cell>
          <cell r="C22">
            <v>7</v>
          </cell>
          <cell r="D22">
            <v>32</v>
          </cell>
          <cell r="E22">
            <v>0</v>
          </cell>
          <cell r="F22">
            <v>6</v>
          </cell>
          <cell r="G22">
            <v>18</v>
          </cell>
          <cell r="H22">
            <v>3</v>
          </cell>
          <cell r="I22">
            <v>5</v>
          </cell>
          <cell r="J22">
            <v>7</v>
          </cell>
          <cell r="K22">
            <v>12</v>
          </cell>
          <cell r="L22">
            <v>5</v>
          </cell>
          <cell r="M22">
            <v>3</v>
          </cell>
          <cell r="N22">
            <v>0</v>
          </cell>
          <cell r="O22">
            <v>182</v>
          </cell>
        </row>
        <row r="23">
          <cell r="B23">
            <v>62</v>
          </cell>
          <cell r="C23">
            <v>10</v>
          </cell>
          <cell r="D23">
            <v>28</v>
          </cell>
          <cell r="E23">
            <v>0</v>
          </cell>
          <cell r="F23">
            <v>8</v>
          </cell>
          <cell r="G23">
            <v>23</v>
          </cell>
          <cell r="H23">
            <v>4</v>
          </cell>
          <cell r="I23">
            <v>13</v>
          </cell>
          <cell r="J23">
            <v>8</v>
          </cell>
          <cell r="K23">
            <v>12</v>
          </cell>
          <cell r="L23">
            <v>3</v>
          </cell>
          <cell r="M23">
            <v>1</v>
          </cell>
          <cell r="N23">
            <v>0</v>
          </cell>
          <cell r="O23">
            <v>172</v>
          </cell>
        </row>
        <row r="24">
          <cell r="B24">
            <v>81</v>
          </cell>
          <cell r="C24">
            <v>8</v>
          </cell>
          <cell r="D24">
            <v>41</v>
          </cell>
          <cell r="E24">
            <v>0</v>
          </cell>
          <cell r="F24">
            <v>5</v>
          </cell>
          <cell r="G24">
            <v>26</v>
          </cell>
          <cell r="H24">
            <v>2</v>
          </cell>
          <cell r="I24">
            <v>9</v>
          </cell>
          <cell r="J24">
            <v>9</v>
          </cell>
          <cell r="K24">
            <v>22</v>
          </cell>
          <cell r="L24">
            <v>5</v>
          </cell>
          <cell r="M24">
            <v>2</v>
          </cell>
          <cell r="N24">
            <v>0</v>
          </cell>
          <cell r="O24">
            <v>210</v>
          </cell>
        </row>
        <row r="25">
          <cell r="B25">
            <v>102</v>
          </cell>
          <cell r="C25">
            <v>13</v>
          </cell>
          <cell r="D25">
            <v>29</v>
          </cell>
          <cell r="E25">
            <v>0</v>
          </cell>
          <cell r="F25">
            <v>12</v>
          </cell>
          <cell r="G25">
            <v>17</v>
          </cell>
          <cell r="H25">
            <v>8</v>
          </cell>
          <cell r="I25">
            <v>8</v>
          </cell>
          <cell r="J25">
            <v>12</v>
          </cell>
          <cell r="K25">
            <v>23</v>
          </cell>
          <cell r="L25">
            <v>5</v>
          </cell>
          <cell r="M25">
            <v>0</v>
          </cell>
          <cell r="N25">
            <v>0</v>
          </cell>
          <cell r="O25">
            <v>229</v>
          </cell>
        </row>
        <row r="26">
          <cell r="B26">
            <v>92</v>
          </cell>
          <cell r="C26">
            <v>9</v>
          </cell>
          <cell r="D26">
            <v>31</v>
          </cell>
          <cell r="E26">
            <v>0</v>
          </cell>
          <cell r="F26">
            <v>0</v>
          </cell>
          <cell r="G26">
            <v>29</v>
          </cell>
          <cell r="H26">
            <v>1</v>
          </cell>
          <cell r="I26">
            <v>8</v>
          </cell>
          <cell r="J26">
            <v>18</v>
          </cell>
          <cell r="K26">
            <v>24</v>
          </cell>
          <cell r="L26">
            <v>5</v>
          </cell>
          <cell r="M26">
            <v>3</v>
          </cell>
          <cell r="N26">
            <v>0</v>
          </cell>
          <cell r="O26">
            <v>220</v>
          </cell>
        </row>
        <row r="27">
          <cell r="B27">
            <v>121</v>
          </cell>
          <cell r="C27">
            <v>11</v>
          </cell>
          <cell r="D27">
            <v>32</v>
          </cell>
          <cell r="E27">
            <v>0</v>
          </cell>
          <cell r="F27">
            <v>3</v>
          </cell>
          <cell r="G27">
            <v>34</v>
          </cell>
          <cell r="H27">
            <v>0</v>
          </cell>
          <cell r="I27">
            <v>13</v>
          </cell>
          <cell r="J27">
            <v>20</v>
          </cell>
          <cell r="K27">
            <v>27</v>
          </cell>
          <cell r="L27">
            <v>0</v>
          </cell>
          <cell r="M27">
            <v>3</v>
          </cell>
          <cell r="N27">
            <v>0</v>
          </cell>
          <cell r="O27">
            <v>264</v>
          </cell>
        </row>
        <row r="28">
          <cell r="B28">
            <v>97</v>
          </cell>
          <cell r="C28">
            <v>11</v>
          </cell>
          <cell r="D28">
            <v>40</v>
          </cell>
          <cell r="E28">
            <v>0</v>
          </cell>
          <cell r="F28">
            <v>3</v>
          </cell>
          <cell r="G28">
            <v>28</v>
          </cell>
          <cell r="H28">
            <v>2</v>
          </cell>
          <cell r="I28">
            <v>8</v>
          </cell>
          <cell r="J28">
            <v>10</v>
          </cell>
          <cell r="K28">
            <v>23</v>
          </cell>
          <cell r="L28">
            <v>7</v>
          </cell>
          <cell r="M28">
            <v>1</v>
          </cell>
          <cell r="N28">
            <v>0</v>
          </cell>
          <cell r="O28">
            <v>230</v>
          </cell>
        </row>
        <row r="29">
          <cell r="B29">
            <v>128</v>
          </cell>
          <cell r="C29">
            <v>12</v>
          </cell>
          <cell r="D29">
            <v>33</v>
          </cell>
          <cell r="E29">
            <v>0</v>
          </cell>
          <cell r="F29">
            <v>2</v>
          </cell>
          <cell r="G29">
            <v>24</v>
          </cell>
          <cell r="H29">
            <v>2</v>
          </cell>
          <cell r="I29">
            <v>11</v>
          </cell>
          <cell r="J29">
            <v>13</v>
          </cell>
          <cell r="K29">
            <v>30</v>
          </cell>
          <cell r="L29">
            <v>4</v>
          </cell>
          <cell r="M29">
            <v>3</v>
          </cell>
          <cell r="N29">
            <v>0</v>
          </cell>
          <cell r="O29">
            <v>262</v>
          </cell>
        </row>
        <row r="30">
          <cell r="B30">
            <v>86</v>
          </cell>
          <cell r="C30">
            <v>6</v>
          </cell>
          <cell r="D30">
            <v>24</v>
          </cell>
          <cell r="E30">
            <v>1</v>
          </cell>
          <cell r="F30">
            <v>2</v>
          </cell>
          <cell r="G30">
            <v>19</v>
          </cell>
          <cell r="H30">
            <v>3</v>
          </cell>
          <cell r="I30">
            <v>5</v>
          </cell>
          <cell r="J30">
            <v>5</v>
          </cell>
          <cell r="K30">
            <v>16</v>
          </cell>
          <cell r="L30">
            <v>6</v>
          </cell>
          <cell r="M30">
            <v>0</v>
          </cell>
          <cell r="N30">
            <v>0</v>
          </cell>
          <cell r="O30">
            <v>173</v>
          </cell>
        </row>
        <row r="31">
          <cell r="B31">
            <v>53</v>
          </cell>
          <cell r="C31">
            <v>9</v>
          </cell>
          <cell r="D31">
            <v>26</v>
          </cell>
          <cell r="E31">
            <v>0</v>
          </cell>
          <cell r="F31">
            <v>0</v>
          </cell>
          <cell r="G31">
            <v>23</v>
          </cell>
          <cell r="H31">
            <v>1</v>
          </cell>
          <cell r="I31">
            <v>2</v>
          </cell>
          <cell r="J31">
            <v>8</v>
          </cell>
          <cell r="K31">
            <v>40</v>
          </cell>
          <cell r="L31">
            <v>3</v>
          </cell>
          <cell r="M31">
            <v>0</v>
          </cell>
          <cell r="N31">
            <v>0</v>
          </cell>
          <cell r="O31">
            <v>165</v>
          </cell>
        </row>
        <row r="32">
          <cell r="B32">
            <v>51</v>
          </cell>
          <cell r="C32">
            <v>9</v>
          </cell>
          <cell r="D32">
            <v>20</v>
          </cell>
          <cell r="E32">
            <v>0</v>
          </cell>
          <cell r="F32">
            <v>0</v>
          </cell>
          <cell r="G32">
            <v>25</v>
          </cell>
          <cell r="H32">
            <v>1</v>
          </cell>
          <cell r="I32">
            <v>14</v>
          </cell>
          <cell r="J32">
            <v>21</v>
          </cell>
          <cell r="K32">
            <v>29</v>
          </cell>
          <cell r="L32">
            <v>8</v>
          </cell>
          <cell r="M32">
            <v>1</v>
          </cell>
          <cell r="N32">
            <v>0</v>
          </cell>
          <cell r="O32">
            <v>179</v>
          </cell>
        </row>
        <row r="33">
          <cell r="B33">
            <v>30</v>
          </cell>
          <cell r="C33">
            <v>6</v>
          </cell>
          <cell r="D33">
            <v>15</v>
          </cell>
          <cell r="E33">
            <v>0</v>
          </cell>
          <cell r="F33">
            <v>3</v>
          </cell>
          <cell r="G33">
            <v>14</v>
          </cell>
          <cell r="H33">
            <v>1</v>
          </cell>
          <cell r="I33">
            <v>5</v>
          </cell>
          <cell r="J33">
            <v>10</v>
          </cell>
          <cell r="K33">
            <v>13</v>
          </cell>
          <cell r="L33">
            <v>2</v>
          </cell>
          <cell r="M33">
            <v>0</v>
          </cell>
          <cell r="N33">
            <v>0</v>
          </cell>
          <cell r="O33">
            <v>99</v>
          </cell>
        </row>
        <row r="34">
          <cell r="B34">
            <v>35</v>
          </cell>
          <cell r="C34">
            <v>2</v>
          </cell>
          <cell r="D34">
            <v>8</v>
          </cell>
          <cell r="E34">
            <v>0</v>
          </cell>
          <cell r="F34">
            <v>6</v>
          </cell>
          <cell r="G34">
            <v>27</v>
          </cell>
          <cell r="H34">
            <v>0</v>
          </cell>
          <cell r="I34">
            <v>17</v>
          </cell>
          <cell r="J34">
            <v>22</v>
          </cell>
          <cell r="K34">
            <v>13</v>
          </cell>
          <cell r="L34">
            <v>5</v>
          </cell>
          <cell r="M34">
            <v>1</v>
          </cell>
          <cell r="N34">
            <v>0</v>
          </cell>
          <cell r="O34">
            <v>136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ONFITAL - CAIHUASI "/>
      <sheetName val="Ambos lados"/>
    </sheetNames>
    <sheetDataSet>
      <sheetData sheetId="0">
        <row r="10">
          <cell r="B10" t="str">
            <v>AUTOMÓVILES VAGONETAS Y JEEP</v>
          </cell>
        </row>
        <row r="35">
          <cell r="B35">
            <v>512</v>
          </cell>
          <cell r="C35">
            <v>90</v>
          </cell>
          <cell r="D35">
            <v>242</v>
          </cell>
          <cell r="E35">
            <v>4</v>
          </cell>
          <cell r="F35">
            <v>24</v>
          </cell>
          <cell r="G35">
            <v>307</v>
          </cell>
          <cell r="H35">
            <v>25</v>
          </cell>
          <cell r="I35">
            <v>101</v>
          </cell>
          <cell r="J35">
            <v>144</v>
          </cell>
          <cell r="K35">
            <v>156</v>
          </cell>
          <cell r="L35">
            <v>43</v>
          </cell>
          <cell r="M35">
            <v>13</v>
          </cell>
          <cell r="N35">
            <v>0</v>
          </cell>
        </row>
      </sheetData>
      <sheetData sheetId="1"/>
      <sheetData sheetId="2">
        <row r="11">
          <cell r="B11">
            <v>22</v>
          </cell>
        </row>
        <row r="35">
          <cell r="B35">
            <v>596</v>
          </cell>
          <cell r="C35">
            <v>79</v>
          </cell>
          <cell r="D35">
            <v>293</v>
          </cell>
          <cell r="E35">
            <v>2</v>
          </cell>
          <cell r="F35">
            <v>78</v>
          </cell>
          <cell r="G35">
            <v>271</v>
          </cell>
          <cell r="H35">
            <v>20</v>
          </cell>
          <cell r="I35">
            <v>118</v>
          </cell>
          <cell r="J35">
            <v>155</v>
          </cell>
          <cell r="K35">
            <v>173</v>
          </cell>
          <cell r="L35">
            <v>72</v>
          </cell>
          <cell r="M35">
            <v>8</v>
          </cell>
          <cell r="N35">
            <v>0</v>
          </cell>
        </row>
      </sheetData>
      <sheetData sheetId="3"/>
      <sheetData sheetId="4">
        <row r="11">
          <cell r="B11">
            <v>43</v>
          </cell>
          <cell r="C11">
            <v>3</v>
          </cell>
          <cell r="D11">
            <v>5</v>
          </cell>
          <cell r="E11">
            <v>0</v>
          </cell>
          <cell r="F11">
            <v>6</v>
          </cell>
          <cell r="G11">
            <v>23</v>
          </cell>
          <cell r="H11">
            <v>1</v>
          </cell>
          <cell r="I11">
            <v>7</v>
          </cell>
          <cell r="J11">
            <v>12</v>
          </cell>
          <cell r="K11">
            <v>7</v>
          </cell>
          <cell r="L11">
            <v>4</v>
          </cell>
          <cell r="M11">
            <v>1</v>
          </cell>
          <cell r="N11">
            <v>0</v>
          </cell>
          <cell r="O11">
            <v>112</v>
          </cell>
        </row>
        <row r="12">
          <cell r="B12">
            <v>19</v>
          </cell>
          <cell r="C12">
            <v>3</v>
          </cell>
          <cell r="D12">
            <v>7</v>
          </cell>
          <cell r="E12">
            <v>0</v>
          </cell>
          <cell r="F12">
            <v>3</v>
          </cell>
          <cell r="G12">
            <v>52</v>
          </cell>
          <cell r="H12">
            <v>0</v>
          </cell>
          <cell r="I12">
            <v>8</v>
          </cell>
          <cell r="J12">
            <v>10</v>
          </cell>
          <cell r="K12">
            <v>5</v>
          </cell>
          <cell r="L12">
            <v>4</v>
          </cell>
          <cell r="M12">
            <v>0</v>
          </cell>
          <cell r="N12">
            <v>0</v>
          </cell>
          <cell r="O12">
            <v>111</v>
          </cell>
        </row>
        <row r="13">
          <cell r="B13">
            <v>23</v>
          </cell>
          <cell r="C13">
            <v>3</v>
          </cell>
          <cell r="D13">
            <v>8</v>
          </cell>
          <cell r="E13">
            <v>0</v>
          </cell>
          <cell r="F13">
            <v>0</v>
          </cell>
          <cell r="G13">
            <v>66</v>
          </cell>
          <cell r="H13">
            <v>1</v>
          </cell>
          <cell r="I13">
            <v>4</v>
          </cell>
          <cell r="J13">
            <v>5</v>
          </cell>
          <cell r="K13">
            <v>7</v>
          </cell>
          <cell r="L13">
            <v>1</v>
          </cell>
          <cell r="M13">
            <v>0</v>
          </cell>
          <cell r="N13">
            <v>0</v>
          </cell>
          <cell r="O13">
            <v>118</v>
          </cell>
        </row>
        <row r="14">
          <cell r="B14">
            <v>17</v>
          </cell>
          <cell r="C14">
            <v>9</v>
          </cell>
          <cell r="D14">
            <v>5</v>
          </cell>
          <cell r="E14">
            <v>0</v>
          </cell>
          <cell r="F14">
            <v>46</v>
          </cell>
          <cell r="G14">
            <v>35</v>
          </cell>
          <cell r="H14">
            <v>2</v>
          </cell>
          <cell r="I14">
            <v>6</v>
          </cell>
          <cell r="J14">
            <v>17</v>
          </cell>
          <cell r="K14">
            <v>10</v>
          </cell>
          <cell r="L14">
            <v>5</v>
          </cell>
          <cell r="M14">
            <v>0</v>
          </cell>
          <cell r="N14">
            <v>0</v>
          </cell>
          <cell r="O14">
            <v>152</v>
          </cell>
        </row>
        <row r="15">
          <cell r="B15">
            <v>30</v>
          </cell>
          <cell r="C15">
            <v>2</v>
          </cell>
          <cell r="D15">
            <v>18</v>
          </cell>
          <cell r="E15">
            <v>0</v>
          </cell>
          <cell r="F15">
            <v>2</v>
          </cell>
          <cell r="G15">
            <v>41</v>
          </cell>
          <cell r="H15">
            <v>1</v>
          </cell>
          <cell r="I15">
            <v>7</v>
          </cell>
          <cell r="J15">
            <v>12</v>
          </cell>
          <cell r="K15">
            <v>27</v>
          </cell>
          <cell r="L15">
            <v>1</v>
          </cell>
          <cell r="M15">
            <v>1</v>
          </cell>
          <cell r="N15">
            <v>0</v>
          </cell>
          <cell r="O15">
            <v>142</v>
          </cell>
        </row>
        <row r="16">
          <cell r="B16">
            <v>33</v>
          </cell>
          <cell r="C16">
            <v>3</v>
          </cell>
          <cell r="D16">
            <v>18</v>
          </cell>
          <cell r="E16">
            <v>0</v>
          </cell>
          <cell r="F16">
            <v>6</v>
          </cell>
          <cell r="G16">
            <v>17</v>
          </cell>
          <cell r="H16">
            <v>7</v>
          </cell>
          <cell r="I16">
            <v>22</v>
          </cell>
          <cell r="J16">
            <v>11</v>
          </cell>
          <cell r="K16">
            <v>13</v>
          </cell>
          <cell r="L16">
            <v>25</v>
          </cell>
          <cell r="M16">
            <v>4</v>
          </cell>
          <cell r="N16">
            <v>0</v>
          </cell>
          <cell r="O16">
            <v>159</v>
          </cell>
        </row>
        <row r="17">
          <cell r="B17">
            <v>27</v>
          </cell>
          <cell r="C17">
            <v>9</v>
          </cell>
          <cell r="D17">
            <v>13</v>
          </cell>
          <cell r="E17">
            <v>0</v>
          </cell>
          <cell r="F17">
            <v>0</v>
          </cell>
          <cell r="G17">
            <v>10</v>
          </cell>
          <cell r="H17">
            <v>1</v>
          </cell>
          <cell r="I17">
            <v>1</v>
          </cell>
          <cell r="J17">
            <v>7</v>
          </cell>
          <cell r="K17">
            <v>12</v>
          </cell>
          <cell r="L17">
            <v>1</v>
          </cell>
          <cell r="M17">
            <v>1</v>
          </cell>
          <cell r="N17">
            <v>0</v>
          </cell>
          <cell r="O17">
            <v>82</v>
          </cell>
        </row>
        <row r="18">
          <cell r="B18">
            <v>32</v>
          </cell>
          <cell r="C18">
            <v>2</v>
          </cell>
          <cell r="D18">
            <v>19</v>
          </cell>
          <cell r="E18">
            <v>1</v>
          </cell>
          <cell r="F18">
            <v>3</v>
          </cell>
          <cell r="G18">
            <v>5</v>
          </cell>
          <cell r="H18">
            <v>1</v>
          </cell>
          <cell r="I18">
            <v>5</v>
          </cell>
          <cell r="J18">
            <v>9</v>
          </cell>
          <cell r="K18">
            <v>15</v>
          </cell>
          <cell r="L18">
            <v>2</v>
          </cell>
          <cell r="M18">
            <v>0</v>
          </cell>
          <cell r="N18">
            <v>0</v>
          </cell>
          <cell r="O18">
            <v>94</v>
          </cell>
        </row>
        <row r="19">
          <cell r="B19">
            <v>62</v>
          </cell>
          <cell r="C19">
            <v>10</v>
          </cell>
          <cell r="D19">
            <v>34</v>
          </cell>
          <cell r="E19">
            <v>0</v>
          </cell>
          <cell r="F19">
            <v>2</v>
          </cell>
          <cell r="G19">
            <v>13</v>
          </cell>
          <cell r="H19">
            <v>1</v>
          </cell>
          <cell r="I19">
            <v>9</v>
          </cell>
          <cell r="J19">
            <v>15</v>
          </cell>
          <cell r="K19">
            <v>13</v>
          </cell>
          <cell r="L19">
            <v>4</v>
          </cell>
          <cell r="M19">
            <v>2</v>
          </cell>
          <cell r="N19">
            <v>0</v>
          </cell>
          <cell r="O19">
            <v>165</v>
          </cell>
        </row>
        <row r="20">
          <cell r="B20">
            <v>36</v>
          </cell>
          <cell r="C20">
            <v>6</v>
          </cell>
          <cell r="D20">
            <v>15</v>
          </cell>
          <cell r="E20">
            <v>0</v>
          </cell>
          <cell r="F20">
            <v>1</v>
          </cell>
          <cell r="G20">
            <v>9</v>
          </cell>
          <cell r="H20">
            <v>0</v>
          </cell>
          <cell r="I20">
            <v>2</v>
          </cell>
          <cell r="J20">
            <v>8</v>
          </cell>
          <cell r="K20">
            <v>7</v>
          </cell>
          <cell r="L20">
            <v>3</v>
          </cell>
          <cell r="M20">
            <v>1</v>
          </cell>
          <cell r="N20">
            <v>0</v>
          </cell>
          <cell r="O20">
            <v>88</v>
          </cell>
        </row>
        <row r="21">
          <cell r="B21">
            <v>55</v>
          </cell>
          <cell r="C21">
            <v>7</v>
          </cell>
          <cell r="D21">
            <v>27</v>
          </cell>
          <cell r="E21">
            <v>2</v>
          </cell>
          <cell r="F21">
            <v>2</v>
          </cell>
          <cell r="G21">
            <v>19</v>
          </cell>
          <cell r="H21">
            <v>1</v>
          </cell>
          <cell r="I21">
            <v>8</v>
          </cell>
          <cell r="J21">
            <v>5</v>
          </cell>
          <cell r="K21">
            <v>17</v>
          </cell>
          <cell r="L21">
            <v>5</v>
          </cell>
          <cell r="M21">
            <v>0</v>
          </cell>
          <cell r="N21">
            <v>0</v>
          </cell>
          <cell r="O21">
            <v>148</v>
          </cell>
        </row>
        <row r="22">
          <cell r="B22">
            <v>62</v>
          </cell>
          <cell r="C22">
            <v>11</v>
          </cell>
          <cell r="D22">
            <v>31</v>
          </cell>
          <cell r="E22">
            <v>1</v>
          </cell>
          <cell r="F22">
            <v>0</v>
          </cell>
          <cell r="G22">
            <v>25</v>
          </cell>
          <cell r="H22">
            <v>1</v>
          </cell>
          <cell r="I22">
            <v>5</v>
          </cell>
          <cell r="J22">
            <v>7</v>
          </cell>
          <cell r="K22">
            <v>10</v>
          </cell>
          <cell r="L22">
            <v>2</v>
          </cell>
          <cell r="M22">
            <v>2</v>
          </cell>
          <cell r="N22">
            <v>0</v>
          </cell>
          <cell r="O22">
            <v>157</v>
          </cell>
        </row>
        <row r="23">
          <cell r="B23">
            <v>61</v>
          </cell>
          <cell r="C23">
            <v>4</v>
          </cell>
          <cell r="D23">
            <v>37</v>
          </cell>
          <cell r="E23">
            <v>0</v>
          </cell>
          <cell r="F23">
            <v>3</v>
          </cell>
          <cell r="G23">
            <v>24</v>
          </cell>
          <cell r="H23">
            <v>1</v>
          </cell>
          <cell r="I23">
            <v>2</v>
          </cell>
          <cell r="J23">
            <v>5</v>
          </cell>
          <cell r="K23">
            <v>3</v>
          </cell>
          <cell r="L23">
            <v>1</v>
          </cell>
          <cell r="M23">
            <v>1</v>
          </cell>
          <cell r="N23">
            <v>0</v>
          </cell>
          <cell r="O23">
            <v>142</v>
          </cell>
        </row>
        <row r="24">
          <cell r="B24">
            <v>74</v>
          </cell>
          <cell r="C24">
            <v>26</v>
          </cell>
          <cell r="D24">
            <v>39</v>
          </cell>
          <cell r="E24">
            <v>1</v>
          </cell>
          <cell r="F24">
            <v>7</v>
          </cell>
          <cell r="G24">
            <v>39</v>
          </cell>
          <cell r="H24">
            <v>3</v>
          </cell>
          <cell r="I24">
            <v>13</v>
          </cell>
          <cell r="J24">
            <v>10</v>
          </cell>
          <cell r="K24">
            <v>21</v>
          </cell>
          <cell r="L24">
            <v>3</v>
          </cell>
          <cell r="M24">
            <v>0</v>
          </cell>
          <cell r="N24">
            <v>0</v>
          </cell>
          <cell r="O24">
            <v>236</v>
          </cell>
        </row>
        <row r="25">
          <cell r="B25">
            <v>72</v>
          </cell>
          <cell r="C25">
            <v>7</v>
          </cell>
          <cell r="D25">
            <v>41</v>
          </cell>
          <cell r="E25">
            <v>0</v>
          </cell>
          <cell r="F25">
            <v>1</v>
          </cell>
          <cell r="G25">
            <v>11</v>
          </cell>
          <cell r="H25">
            <v>7</v>
          </cell>
          <cell r="I25">
            <v>8</v>
          </cell>
          <cell r="J25">
            <v>3</v>
          </cell>
          <cell r="K25">
            <v>9</v>
          </cell>
          <cell r="L25">
            <v>2</v>
          </cell>
          <cell r="M25">
            <v>0</v>
          </cell>
          <cell r="N25">
            <v>0</v>
          </cell>
          <cell r="O25">
            <v>161</v>
          </cell>
        </row>
        <row r="26">
          <cell r="B26">
            <v>79</v>
          </cell>
          <cell r="C26">
            <v>11</v>
          </cell>
          <cell r="D26">
            <v>25</v>
          </cell>
          <cell r="E26">
            <v>0</v>
          </cell>
          <cell r="F26">
            <v>7</v>
          </cell>
          <cell r="G26">
            <v>31</v>
          </cell>
          <cell r="H26">
            <v>0</v>
          </cell>
          <cell r="I26">
            <v>18</v>
          </cell>
          <cell r="J26">
            <v>13</v>
          </cell>
          <cell r="K26">
            <v>13</v>
          </cell>
          <cell r="L26">
            <v>6</v>
          </cell>
          <cell r="M26">
            <v>1</v>
          </cell>
          <cell r="N26">
            <v>0</v>
          </cell>
          <cell r="O26">
            <v>204</v>
          </cell>
        </row>
        <row r="27">
          <cell r="B27">
            <v>77</v>
          </cell>
          <cell r="C27">
            <v>7</v>
          </cell>
          <cell r="D27">
            <v>37</v>
          </cell>
          <cell r="E27">
            <v>0</v>
          </cell>
          <cell r="F27">
            <v>1</v>
          </cell>
          <cell r="G27">
            <v>25</v>
          </cell>
          <cell r="H27">
            <v>5</v>
          </cell>
          <cell r="I27">
            <v>9</v>
          </cell>
          <cell r="J27">
            <v>20</v>
          </cell>
          <cell r="K27">
            <v>12</v>
          </cell>
          <cell r="L27">
            <v>7</v>
          </cell>
          <cell r="M27">
            <v>1</v>
          </cell>
          <cell r="N27">
            <v>0</v>
          </cell>
          <cell r="O27">
            <v>201</v>
          </cell>
        </row>
        <row r="28">
          <cell r="B28">
            <v>73</v>
          </cell>
          <cell r="C28">
            <v>7</v>
          </cell>
          <cell r="D28">
            <v>32</v>
          </cell>
          <cell r="E28">
            <v>0</v>
          </cell>
          <cell r="F28">
            <v>3</v>
          </cell>
          <cell r="G28">
            <v>31</v>
          </cell>
          <cell r="H28">
            <v>1</v>
          </cell>
          <cell r="I28">
            <v>21</v>
          </cell>
          <cell r="J28">
            <v>27</v>
          </cell>
          <cell r="K28">
            <v>23</v>
          </cell>
          <cell r="L28">
            <v>2</v>
          </cell>
          <cell r="M28">
            <v>3</v>
          </cell>
          <cell r="N28">
            <v>0</v>
          </cell>
          <cell r="O28">
            <v>223</v>
          </cell>
        </row>
        <row r="29">
          <cell r="B29">
            <v>53</v>
          </cell>
          <cell r="C29">
            <v>9</v>
          </cell>
          <cell r="D29">
            <v>25</v>
          </cell>
          <cell r="E29">
            <v>0</v>
          </cell>
          <cell r="F29">
            <v>0</v>
          </cell>
          <cell r="G29">
            <v>20</v>
          </cell>
          <cell r="H29">
            <v>1</v>
          </cell>
          <cell r="I29">
            <v>11</v>
          </cell>
          <cell r="J29">
            <v>7</v>
          </cell>
          <cell r="K29">
            <v>17</v>
          </cell>
          <cell r="L29">
            <v>3</v>
          </cell>
          <cell r="M29">
            <v>2</v>
          </cell>
          <cell r="N29">
            <v>0</v>
          </cell>
          <cell r="O29">
            <v>148</v>
          </cell>
        </row>
        <row r="30">
          <cell r="B30">
            <v>57</v>
          </cell>
          <cell r="C30">
            <v>8</v>
          </cell>
          <cell r="D30">
            <v>18</v>
          </cell>
          <cell r="E30">
            <v>0</v>
          </cell>
          <cell r="F30">
            <v>3</v>
          </cell>
          <cell r="G30">
            <v>17</v>
          </cell>
          <cell r="H30">
            <v>2</v>
          </cell>
          <cell r="I30">
            <v>9</v>
          </cell>
          <cell r="J30">
            <v>14</v>
          </cell>
          <cell r="K30">
            <v>12</v>
          </cell>
          <cell r="L30">
            <v>6</v>
          </cell>
          <cell r="M30">
            <v>1</v>
          </cell>
          <cell r="N30">
            <v>0</v>
          </cell>
          <cell r="O30">
            <v>147</v>
          </cell>
        </row>
        <row r="31">
          <cell r="B31">
            <v>39</v>
          </cell>
          <cell r="C31">
            <v>11</v>
          </cell>
          <cell r="D31">
            <v>18</v>
          </cell>
          <cell r="E31">
            <v>0</v>
          </cell>
          <cell r="F31">
            <v>2</v>
          </cell>
          <cell r="G31">
            <v>13</v>
          </cell>
          <cell r="H31">
            <v>2</v>
          </cell>
          <cell r="I31">
            <v>10</v>
          </cell>
          <cell r="J31">
            <v>28</v>
          </cell>
          <cell r="K31">
            <v>19</v>
          </cell>
          <cell r="L31">
            <v>7</v>
          </cell>
          <cell r="M31">
            <v>0</v>
          </cell>
          <cell r="N31">
            <v>0</v>
          </cell>
          <cell r="O31">
            <v>149</v>
          </cell>
        </row>
        <row r="32">
          <cell r="B32">
            <v>19</v>
          </cell>
          <cell r="C32">
            <v>4</v>
          </cell>
          <cell r="D32">
            <v>13</v>
          </cell>
          <cell r="E32">
            <v>0</v>
          </cell>
          <cell r="F32">
            <v>0</v>
          </cell>
          <cell r="G32">
            <v>17</v>
          </cell>
          <cell r="H32">
            <v>3</v>
          </cell>
          <cell r="I32">
            <v>10</v>
          </cell>
          <cell r="J32">
            <v>25</v>
          </cell>
          <cell r="K32">
            <v>24</v>
          </cell>
          <cell r="L32">
            <v>14</v>
          </cell>
          <cell r="M32">
            <v>0</v>
          </cell>
          <cell r="N32">
            <v>0</v>
          </cell>
          <cell r="O32">
            <v>129</v>
          </cell>
        </row>
        <row r="33">
          <cell r="B33">
            <v>54</v>
          </cell>
          <cell r="C33">
            <v>5</v>
          </cell>
          <cell r="D33">
            <v>45</v>
          </cell>
          <cell r="E33">
            <v>1</v>
          </cell>
          <cell r="F33">
            <v>2</v>
          </cell>
          <cell r="G33">
            <v>32</v>
          </cell>
          <cell r="H33">
            <v>2</v>
          </cell>
          <cell r="I33">
            <v>21</v>
          </cell>
          <cell r="J33">
            <v>19</v>
          </cell>
          <cell r="K33">
            <v>25</v>
          </cell>
          <cell r="L33">
            <v>6</v>
          </cell>
          <cell r="M33">
            <v>0</v>
          </cell>
          <cell r="N33">
            <v>0</v>
          </cell>
          <cell r="O33">
            <v>212</v>
          </cell>
        </row>
        <row r="34">
          <cell r="B34">
            <v>11</v>
          </cell>
          <cell r="C34">
            <v>2</v>
          </cell>
          <cell r="D34">
            <v>5</v>
          </cell>
          <cell r="E34">
            <v>0</v>
          </cell>
          <cell r="F34">
            <v>2</v>
          </cell>
          <cell r="G34">
            <v>3</v>
          </cell>
          <cell r="H34">
            <v>1</v>
          </cell>
          <cell r="I34">
            <v>3</v>
          </cell>
          <cell r="J34">
            <v>10</v>
          </cell>
          <cell r="K34">
            <v>8</v>
          </cell>
          <cell r="L34">
            <v>1</v>
          </cell>
          <cell r="M34">
            <v>0</v>
          </cell>
          <cell r="N34">
            <v>0</v>
          </cell>
          <cell r="O34">
            <v>46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ONFITAL - CAIHUASI"/>
      <sheetName val="Ambos lados"/>
    </sheetNames>
    <sheetDataSet>
      <sheetData sheetId="0">
        <row r="10">
          <cell r="B10" t="str">
            <v>AUTOMÓVILES VAGONETAS Y JEEP</v>
          </cell>
        </row>
        <row r="35">
          <cell r="B35">
            <v>369</v>
          </cell>
          <cell r="C35">
            <v>64</v>
          </cell>
          <cell r="D35">
            <v>240</v>
          </cell>
          <cell r="E35">
            <v>1</v>
          </cell>
          <cell r="F35">
            <v>44</v>
          </cell>
          <cell r="G35">
            <v>254</v>
          </cell>
          <cell r="H35">
            <v>22</v>
          </cell>
          <cell r="I35">
            <v>113</v>
          </cell>
          <cell r="J35">
            <v>194</v>
          </cell>
          <cell r="K35">
            <v>203</v>
          </cell>
          <cell r="L35">
            <v>41</v>
          </cell>
          <cell r="M35">
            <v>4</v>
          </cell>
          <cell r="N35">
            <v>0</v>
          </cell>
        </row>
      </sheetData>
      <sheetData sheetId="1"/>
      <sheetData sheetId="2">
        <row r="11">
          <cell r="B11">
            <v>7</v>
          </cell>
        </row>
        <row r="35">
          <cell r="B35">
            <v>410</v>
          </cell>
          <cell r="C35">
            <v>76</v>
          </cell>
          <cell r="D35">
            <v>259</v>
          </cell>
          <cell r="E35">
            <v>1</v>
          </cell>
          <cell r="F35">
            <v>23</v>
          </cell>
          <cell r="G35">
            <v>273</v>
          </cell>
          <cell r="H35">
            <v>15</v>
          </cell>
          <cell r="I35">
            <v>128</v>
          </cell>
          <cell r="J35">
            <v>176</v>
          </cell>
          <cell r="K35">
            <v>230</v>
          </cell>
          <cell r="L35">
            <v>53</v>
          </cell>
          <cell r="M35">
            <v>8</v>
          </cell>
          <cell r="N35">
            <v>0</v>
          </cell>
        </row>
      </sheetData>
      <sheetData sheetId="3"/>
      <sheetData sheetId="4">
        <row r="11">
          <cell r="B11">
            <v>15</v>
          </cell>
          <cell r="C11">
            <v>0</v>
          </cell>
          <cell r="D11">
            <v>6</v>
          </cell>
          <cell r="E11">
            <v>0</v>
          </cell>
          <cell r="F11">
            <v>5</v>
          </cell>
          <cell r="G11">
            <v>24</v>
          </cell>
          <cell r="H11">
            <v>1</v>
          </cell>
          <cell r="I11">
            <v>13</v>
          </cell>
          <cell r="J11">
            <v>26</v>
          </cell>
          <cell r="K11">
            <v>14</v>
          </cell>
          <cell r="L11">
            <v>5</v>
          </cell>
          <cell r="M11">
            <v>0</v>
          </cell>
          <cell r="N11">
            <v>0</v>
          </cell>
          <cell r="O11">
            <v>109</v>
          </cell>
        </row>
        <row r="12">
          <cell r="B12">
            <v>11</v>
          </cell>
          <cell r="C12">
            <v>4</v>
          </cell>
          <cell r="D12">
            <v>4</v>
          </cell>
          <cell r="E12">
            <v>0</v>
          </cell>
          <cell r="F12">
            <v>7</v>
          </cell>
          <cell r="G12">
            <v>41</v>
          </cell>
          <cell r="H12">
            <v>1</v>
          </cell>
          <cell r="I12">
            <v>8</v>
          </cell>
          <cell r="J12">
            <v>15</v>
          </cell>
          <cell r="K12">
            <v>15</v>
          </cell>
          <cell r="L12">
            <v>2</v>
          </cell>
          <cell r="M12">
            <v>0</v>
          </cell>
          <cell r="N12">
            <v>0</v>
          </cell>
          <cell r="O12">
            <v>108</v>
          </cell>
        </row>
        <row r="13">
          <cell r="B13">
            <v>20</v>
          </cell>
          <cell r="C13">
            <v>0</v>
          </cell>
          <cell r="D13">
            <v>8</v>
          </cell>
          <cell r="E13">
            <v>0</v>
          </cell>
          <cell r="F13">
            <v>0</v>
          </cell>
          <cell r="G13">
            <v>72</v>
          </cell>
          <cell r="H13">
            <v>1</v>
          </cell>
          <cell r="I13">
            <v>13</v>
          </cell>
          <cell r="J13">
            <v>15</v>
          </cell>
          <cell r="K13">
            <v>9</v>
          </cell>
          <cell r="L13">
            <v>5</v>
          </cell>
          <cell r="M13">
            <v>0</v>
          </cell>
          <cell r="N13">
            <v>0</v>
          </cell>
          <cell r="O13">
            <v>143</v>
          </cell>
        </row>
        <row r="14">
          <cell r="B14">
            <v>17</v>
          </cell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17</v>
          </cell>
          <cell r="H14">
            <v>0</v>
          </cell>
          <cell r="I14">
            <v>1</v>
          </cell>
          <cell r="J14">
            <v>13</v>
          </cell>
          <cell r="K14">
            <v>12</v>
          </cell>
          <cell r="L14">
            <v>1</v>
          </cell>
          <cell r="M14">
            <v>0</v>
          </cell>
          <cell r="N14">
            <v>0</v>
          </cell>
          <cell r="O14">
            <v>63</v>
          </cell>
        </row>
        <row r="15">
          <cell r="B15">
            <v>12</v>
          </cell>
          <cell r="C15">
            <v>1</v>
          </cell>
          <cell r="D15">
            <v>3</v>
          </cell>
          <cell r="E15">
            <v>0</v>
          </cell>
          <cell r="F15">
            <v>0</v>
          </cell>
          <cell r="G15">
            <v>16</v>
          </cell>
          <cell r="H15">
            <v>0</v>
          </cell>
          <cell r="I15">
            <v>2</v>
          </cell>
          <cell r="J15">
            <v>12</v>
          </cell>
          <cell r="K15">
            <v>14</v>
          </cell>
          <cell r="L15">
            <v>0</v>
          </cell>
          <cell r="M15">
            <v>0</v>
          </cell>
          <cell r="N15">
            <v>0</v>
          </cell>
          <cell r="O15">
            <v>60</v>
          </cell>
        </row>
        <row r="16">
          <cell r="B16">
            <v>18</v>
          </cell>
          <cell r="C16">
            <v>1</v>
          </cell>
          <cell r="D16">
            <v>7</v>
          </cell>
          <cell r="E16">
            <v>0</v>
          </cell>
          <cell r="F16">
            <v>0</v>
          </cell>
          <cell r="G16">
            <v>6</v>
          </cell>
          <cell r="H16">
            <v>0</v>
          </cell>
          <cell r="I16">
            <v>10</v>
          </cell>
          <cell r="J16">
            <v>8</v>
          </cell>
          <cell r="K16">
            <v>13</v>
          </cell>
          <cell r="L16">
            <v>3</v>
          </cell>
          <cell r="M16">
            <v>0</v>
          </cell>
          <cell r="N16">
            <v>0</v>
          </cell>
          <cell r="O16">
            <v>66</v>
          </cell>
        </row>
        <row r="17">
          <cell r="B17">
            <v>27</v>
          </cell>
          <cell r="C17">
            <v>3</v>
          </cell>
          <cell r="D17">
            <v>26</v>
          </cell>
          <cell r="E17">
            <v>0</v>
          </cell>
          <cell r="F17">
            <v>2</v>
          </cell>
          <cell r="G17">
            <v>10</v>
          </cell>
          <cell r="H17">
            <v>0</v>
          </cell>
          <cell r="I17">
            <v>6</v>
          </cell>
          <cell r="J17">
            <v>13</v>
          </cell>
          <cell r="K17">
            <v>22</v>
          </cell>
          <cell r="L17">
            <v>5</v>
          </cell>
          <cell r="M17">
            <v>0</v>
          </cell>
          <cell r="N17">
            <v>0</v>
          </cell>
          <cell r="O17">
            <v>114</v>
          </cell>
        </row>
        <row r="18">
          <cell r="B18">
            <v>32</v>
          </cell>
          <cell r="C18">
            <v>9</v>
          </cell>
          <cell r="D18">
            <v>30</v>
          </cell>
          <cell r="E18">
            <v>0</v>
          </cell>
          <cell r="F18">
            <v>3</v>
          </cell>
          <cell r="G18">
            <v>9</v>
          </cell>
          <cell r="H18">
            <v>1</v>
          </cell>
          <cell r="I18">
            <v>11</v>
          </cell>
          <cell r="J18">
            <v>9</v>
          </cell>
          <cell r="K18">
            <v>18</v>
          </cell>
          <cell r="L18">
            <v>0</v>
          </cell>
          <cell r="M18">
            <v>0</v>
          </cell>
          <cell r="N18">
            <v>0</v>
          </cell>
          <cell r="O18">
            <v>122</v>
          </cell>
        </row>
        <row r="19">
          <cell r="B19">
            <v>31</v>
          </cell>
          <cell r="C19">
            <v>9</v>
          </cell>
          <cell r="D19">
            <v>23</v>
          </cell>
          <cell r="E19">
            <v>0</v>
          </cell>
          <cell r="F19">
            <v>3</v>
          </cell>
          <cell r="G19">
            <v>11</v>
          </cell>
          <cell r="H19">
            <v>2</v>
          </cell>
          <cell r="I19">
            <v>5</v>
          </cell>
          <cell r="J19">
            <v>6</v>
          </cell>
          <cell r="K19">
            <v>7</v>
          </cell>
          <cell r="L19">
            <v>2</v>
          </cell>
          <cell r="M19">
            <v>1</v>
          </cell>
          <cell r="N19">
            <v>0</v>
          </cell>
          <cell r="O19">
            <v>100</v>
          </cell>
        </row>
        <row r="20">
          <cell r="B20">
            <v>55</v>
          </cell>
          <cell r="C20">
            <v>12</v>
          </cell>
          <cell r="D20">
            <v>38</v>
          </cell>
          <cell r="E20">
            <v>0</v>
          </cell>
          <cell r="F20">
            <v>2</v>
          </cell>
          <cell r="G20">
            <v>17</v>
          </cell>
          <cell r="H20">
            <v>2</v>
          </cell>
          <cell r="I20">
            <v>4</v>
          </cell>
          <cell r="J20">
            <v>10</v>
          </cell>
          <cell r="K20">
            <v>15</v>
          </cell>
          <cell r="L20">
            <v>2</v>
          </cell>
          <cell r="M20">
            <v>2</v>
          </cell>
          <cell r="N20">
            <v>0</v>
          </cell>
          <cell r="O20">
            <v>159</v>
          </cell>
        </row>
        <row r="21">
          <cell r="B21">
            <v>32</v>
          </cell>
          <cell r="C21">
            <v>10</v>
          </cell>
          <cell r="D21">
            <v>34</v>
          </cell>
          <cell r="E21">
            <v>0</v>
          </cell>
          <cell r="F21">
            <v>1</v>
          </cell>
          <cell r="G21">
            <v>13</v>
          </cell>
          <cell r="H21">
            <v>2</v>
          </cell>
          <cell r="I21">
            <v>8</v>
          </cell>
          <cell r="J21">
            <v>5</v>
          </cell>
          <cell r="K21">
            <v>10</v>
          </cell>
          <cell r="L21">
            <v>4</v>
          </cell>
          <cell r="M21">
            <v>1</v>
          </cell>
          <cell r="N21">
            <v>0</v>
          </cell>
          <cell r="O21">
            <v>120</v>
          </cell>
        </row>
        <row r="22">
          <cell r="B22">
            <v>36</v>
          </cell>
          <cell r="C22">
            <v>10</v>
          </cell>
          <cell r="D22">
            <v>30</v>
          </cell>
          <cell r="E22">
            <v>0</v>
          </cell>
          <cell r="F22">
            <v>5</v>
          </cell>
          <cell r="G22">
            <v>17</v>
          </cell>
          <cell r="H22">
            <v>2</v>
          </cell>
          <cell r="I22">
            <v>3</v>
          </cell>
          <cell r="J22">
            <v>6</v>
          </cell>
          <cell r="K22">
            <v>12</v>
          </cell>
          <cell r="L22">
            <v>1</v>
          </cell>
          <cell r="M22">
            <v>1</v>
          </cell>
          <cell r="N22">
            <v>0</v>
          </cell>
          <cell r="O22">
            <v>123</v>
          </cell>
        </row>
        <row r="23">
          <cell r="B23">
            <v>57</v>
          </cell>
          <cell r="C23">
            <v>10</v>
          </cell>
          <cell r="D23">
            <v>34</v>
          </cell>
          <cell r="E23">
            <v>0</v>
          </cell>
          <cell r="F23">
            <v>7</v>
          </cell>
          <cell r="G23">
            <v>20</v>
          </cell>
          <cell r="H23">
            <v>2</v>
          </cell>
          <cell r="I23">
            <v>5</v>
          </cell>
          <cell r="J23">
            <v>5</v>
          </cell>
          <cell r="K23">
            <v>14</v>
          </cell>
          <cell r="L23">
            <v>3</v>
          </cell>
          <cell r="M23">
            <v>1</v>
          </cell>
          <cell r="N23">
            <v>0</v>
          </cell>
          <cell r="O23">
            <v>158</v>
          </cell>
        </row>
        <row r="24">
          <cell r="B24">
            <v>51</v>
          </cell>
          <cell r="C24">
            <v>12</v>
          </cell>
          <cell r="D24">
            <v>32</v>
          </cell>
          <cell r="E24">
            <v>0</v>
          </cell>
          <cell r="F24">
            <v>3</v>
          </cell>
          <cell r="G24">
            <v>21</v>
          </cell>
          <cell r="H24">
            <v>0</v>
          </cell>
          <cell r="I24">
            <v>9</v>
          </cell>
          <cell r="J24">
            <v>9</v>
          </cell>
          <cell r="K24">
            <v>10</v>
          </cell>
          <cell r="L24">
            <v>2</v>
          </cell>
          <cell r="M24">
            <v>1</v>
          </cell>
          <cell r="N24">
            <v>0</v>
          </cell>
          <cell r="O24">
            <v>150</v>
          </cell>
        </row>
        <row r="25">
          <cell r="B25">
            <v>64</v>
          </cell>
          <cell r="C25">
            <v>7</v>
          </cell>
          <cell r="D25">
            <v>30</v>
          </cell>
          <cell r="E25">
            <v>0</v>
          </cell>
          <cell r="F25">
            <v>7</v>
          </cell>
          <cell r="G25">
            <v>20</v>
          </cell>
          <cell r="H25">
            <v>1</v>
          </cell>
          <cell r="I25">
            <v>17</v>
          </cell>
          <cell r="J25">
            <v>12</v>
          </cell>
          <cell r="K25">
            <v>23</v>
          </cell>
          <cell r="L25">
            <v>4</v>
          </cell>
          <cell r="M25">
            <v>0</v>
          </cell>
          <cell r="N25">
            <v>0</v>
          </cell>
          <cell r="O25">
            <v>185</v>
          </cell>
        </row>
        <row r="26">
          <cell r="B26">
            <v>27</v>
          </cell>
          <cell r="C26">
            <v>7</v>
          </cell>
          <cell r="D26">
            <v>19</v>
          </cell>
          <cell r="E26">
            <v>0</v>
          </cell>
          <cell r="F26">
            <v>4</v>
          </cell>
          <cell r="G26">
            <v>20</v>
          </cell>
          <cell r="H26">
            <v>1</v>
          </cell>
          <cell r="I26">
            <v>10</v>
          </cell>
          <cell r="J26">
            <v>9</v>
          </cell>
          <cell r="K26">
            <v>18</v>
          </cell>
          <cell r="L26">
            <v>0</v>
          </cell>
          <cell r="M26">
            <v>2</v>
          </cell>
          <cell r="N26">
            <v>0</v>
          </cell>
          <cell r="O26">
            <v>117</v>
          </cell>
        </row>
        <row r="27">
          <cell r="B27">
            <v>44</v>
          </cell>
          <cell r="C27">
            <v>10</v>
          </cell>
          <cell r="D27">
            <v>24</v>
          </cell>
          <cell r="E27">
            <v>0</v>
          </cell>
          <cell r="F27">
            <v>0</v>
          </cell>
          <cell r="G27">
            <v>22</v>
          </cell>
          <cell r="H27">
            <v>4</v>
          </cell>
          <cell r="I27">
            <v>7</v>
          </cell>
          <cell r="J27">
            <v>38</v>
          </cell>
          <cell r="K27">
            <v>19</v>
          </cell>
          <cell r="L27">
            <v>7</v>
          </cell>
          <cell r="M27">
            <v>0</v>
          </cell>
          <cell r="N27">
            <v>0</v>
          </cell>
          <cell r="O27">
            <v>175</v>
          </cell>
        </row>
        <row r="28">
          <cell r="B28">
            <v>32</v>
          </cell>
          <cell r="C28">
            <v>6</v>
          </cell>
          <cell r="D28">
            <v>33</v>
          </cell>
          <cell r="E28">
            <v>0</v>
          </cell>
          <cell r="F28">
            <v>3</v>
          </cell>
          <cell r="G28">
            <v>37</v>
          </cell>
          <cell r="H28">
            <v>8</v>
          </cell>
          <cell r="I28">
            <v>11</v>
          </cell>
          <cell r="J28">
            <v>16</v>
          </cell>
          <cell r="K28">
            <v>30</v>
          </cell>
          <cell r="L28">
            <v>7</v>
          </cell>
          <cell r="M28">
            <v>1</v>
          </cell>
          <cell r="N28">
            <v>0</v>
          </cell>
          <cell r="O28">
            <v>184</v>
          </cell>
        </row>
        <row r="29">
          <cell r="B29">
            <v>44</v>
          </cell>
          <cell r="C29">
            <v>6</v>
          </cell>
          <cell r="D29">
            <v>52</v>
          </cell>
          <cell r="E29">
            <v>0</v>
          </cell>
          <cell r="F29">
            <v>1</v>
          </cell>
          <cell r="G29">
            <v>34</v>
          </cell>
          <cell r="H29">
            <v>4</v>
          </cell>
          <cell r="I29">
            <v>31</v>
          </cell>
          <cell r="J29">
            <v>33</v>
          </cell>
          <cell r="K29">
            <v>20</v>
          </cell>
          <cell r="L29">
            <v>6</v>
          </cell>
          <cell r="M29">
            <v>1</v>
          </cell>
          <cell r="N29">
            <v>0</v>
          </cell>
          <cell r="O29">
            <v>232</v>
          </cell>
        </row>
        <row r="30">
          <cell r="B30">
            <v>41</v>
          </cell>
          <cell r="C30">
            <v>7</v>
          </cell>
          <cell r="D30">
            <v>24</v>
          </cell>
          <cell r="E30">
            <v>0</v>
          </cell>
          <cell r="F30">
            <v>2</v>
          </cell>
          <cell r="G30">
            <v>17</v>
          </cell>
          <cell r="H30">
            <v>1</v>
          </cell>
          <cell r="I30">
            <v>6</v>
          </cell>
          <cell r="J30">
            <v>26</v>
          </cell>
          <cell r="K30">
            <v>27</v>
          </cell>
          <cell r="L30">
            <v>12</v>
          </cell>
          <cell r="M30">
            <v>1</v>
          </cell>
          <cell r="N30">
            <v>0</v>
          </cell>
          <cell r="O30">
            <v>164</v>
          </cell>
        </row>
        <row r="31">
          <cell r="B31">
            <v>33</v>
          </cell>
          <cell r="C31">
            <v>5</v>
          </cell>
          <cell r="D31">
            <v>15</v>
          </cell>
          <cell r="E31">
            <v>1</v>
          </cell>
          <cell r="F31">
            <v>0</v>
          </cell>
          <cell r="G31">
            <v>8</v>
          </cell>
          <cell r="H31">
            <v>1</v>
          </cell>
          <cell r="I31">
            <v>11</v>
          </cell>
          <cell r="J31">
            <v>21</v>
          </cell>
          <cell r="K31">
            <v>13</v>
          </cell>
          <cell r="L31">
            <v>9</v>
          </cell>
          <cell r="M31">
            <v>0</v>
          </cell>
          <cell r="N31">
            <v>0</v>
          </cell>
          <cell r="O31">
            <v>117</v>
          </cell>
        </row>
        <row r="32">
          <cell r="B32">
            <v>30</v>
          </cell>
          <cell r="C32">
            <v>1</v>
          </cell>
          <cell r="D32">
            <v>6</v>
          </cell>
          <cell r="E32">
            <v>0</v>
          </cell>
          <cell r="F32">
            <v>0</v>
          </cell>
          <cell r="G32">
            <v>19</v>
          </cell>
          <cell r="H32">
            <v>1</v>
          </cell>
          <cell r="I32">
            <v>19</v>
          </cell>
          <cell r="J32">
            <v>16</v>
          </cell>
          <cell r="K32">
            <v>27</v>
          </cell>
          <cell r="L32">
            <v>5</v>
          </cell>
          <cell r="M32">
            <v>0</v>
          </cell>
          <cell r="N32">
            <v>0</v>
          </cell>
          <cell r="O32">
            <v>124</v>
          </cell>
        </row>
        <row r="33">
          <cell r="B33">
            <v>19</v>
          </cell>
          <cell r="C33">
            <v>5</v>
          </cell>
          <cell r="D33">
            <v>9</v>
          </cell>
          <cell r="E33">
            <v>0</v>
          </cell>
          <cell r="F33">
            <v>1</v>
          </cell>
          <cell r="G33">
            <v>21</v>
          </cell>
          <cell r="H33">
            <v>1</v>
          </cell>
          <cell r="I33">
            <v>16</v>
          </cell>
          <cell r="J33">
            <v>26</v>
          </cell>
          <cell r="K33">
            <v>29</v>
          </cell>
          <cell r="L33">
            <v>5</v>
          </cell>
          <cell r="M33">
            <v>0</v>
          </cell>
          <cell r="N33">
            <v>0</v>
          </cell>
          <cell r="O33">
            <v>132</v>
          </cell>
        </row>
        <row r="34">
          <cell r="B34">
            <v>31</v>
          </cell>
          <cell r="C34">
            <v>4</v>
          </cell>
          <cell r="D34">
            <v>11</v>
          </cell>
          <cell r="E34">
            <v>1</v>
          </cell>
          <cell r="F34">
            <v>11</v>
          </cell>
          <cell r="G34">
            <v>35</v>
          </cell>
          <cell r="H34">
            <v>1</v>
          </cell>
          <cell r="I34">
            <v>15</v>
          </cell>
          <cell r="J34">
            <v>21</v>
          </cell>
          <cell r="K34">
            <v>42</v>
          </cell>
          <cell r="L34">
            <v>4</v>
          </cell>
          <cell r="M34">
            <v>0</v>
          </cell>
          <cell r="N34">
            <v>0</v>
          </cell>
          <cell r="O34">
            <v>176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AIHUASI - CONFITAL"/>
      <sheetName val="Ambos lados"/>
    </sheetNames>
    <sheetDataSet>
      <sheetData sheetId="0">
        <row r="10">
          <cell r="B10" t="str">
            <v>AUTOMÓVILES VAGONETAS Y JEEP</v>
          </cell>
        </row>
        <row r="35">
          <cell r="B35">
            <v>373</v>
          </cell>
          <cell r="C35">
            <v>77</v>
          </cell>
          <cell r="D35">
            <v>230</v>
          </cell>
          <cell r="E35">
            <v>1</v>
          </cell>
          <cell r="F35">
            <v>45</v>
          </cell>
          <cell r="G35">
            <v>316</v>
          </cell>
          <cell r="H35">
            <v>34</v>
          </cell>
          <cell r="I35">
            <v>159</v>
          </cell>
          <cell r="J35">
            <v>194</v>
          </cell>
          <cell r="K35">
            <v>302</v>
          </cell>
          <cell r="L35">
            <v>100</v>
          </cell>
          <cell r="M35">
            <v>10</v>
          </cell>
          <cell r="N35">
            <v>0</v>
          </cell>
        </row>
      </sheetData>
      <sheetData sheetId="1"/>
      <sheetData sheetId="2">
        <row r="11">
          <cell r="B11">
            <v>6</v>
          </cell>
        </row>
        <row r="35">
          <cell r="B35">
            <v>414</v>
          </cell>
          <cell r="C35">
            <v>99</v>
          </cell>
          <cell r="D35">
            <v>279</v>
          </cell>
          <cell r="E35">
            <v>2</v>
          </cell>
          <cell r="F35">
            <v>36</v>
          </cell>
          <cell r="G35">
            <v>305</v>
          </cell>
          <cell r="H35">
            <v>28</v>
          </cell>
          <cell r="I35">
            <v>128</v>
          </cell>
          <cell r="J35">
            <v>210</v>
          </cell>
          <cell r="K35">
            <v>303</v>
          </cell>
          <cell r="L35">
            <v>96</v>
          </cell>
          <cell r="M35">
            <v>6</v>
          </cell>
          <cell r="N35">
            <v>0</v>
          </cell>
        </row>
      </sheetData>
      <sheetData sheetId="3"/>
      <sheetData sheetId="4">
        <row r="11">
          <cell r="B11">
            <v>13</v>
          </cell>
          <cell r="C11">
            <v>4</v>
          </cell>
          <cell r="D11">
            <v>2</v>
          </cell>
          <cell r="E11">
            <v>0</v>
          </cell>
          <cell r="F11">
            <v>4</v>
          </cell>
          <cell r="G11">
            <v>62</v>
          </cell>
          <cell r="H11">
            <v>3</v>
          </cell>
          <cell r="I11">
            <v>15</v>
          </cell>
          <cell r="J11">
            <v>10</v>
          </cell>
          <cell r="K11">
            <v>19</v>
          </cell>
          <cell r="L11">
            <v>9</v>
          </cell>
          <cell r="M11">
            <v>0</v>
          </cell>
          <cell r="N11">
            <v>0</v>
          </cell>
          <cell r="O11">
            <v>141</v>
          </cell>
        </row>
        <row r="12">
          <cell r="B12">
            <v>11</v>
          </cell>
          <cell r="C12">
            <v>3</v>
          </cell>
          <cell r="D12">
            <v>12</v>
          </cell>
          <cell r="E12">
            <v>0</v>
          </cell>
          <cell r="F12">
            <v>4</v>
          </cell>
          <cell r="G12">
            <v>48</v>
          </cell>
          <cell r="H12">
            <v>6</v>
          </cell>
          <cell r="I12">
            <v>14</v>
          </cell>
          <cell r="J12">
            <v>20</v>
          </cell>
          <cell r="K12">
            <v>39</v>
          </cell>
          <cell r="L12">
            <v>6</v>
          </cell>
          <cell r="M12">
            <v>0</v>
          </cell>
          <cell r="N12">
            <v>0</v>
          </cell>
          <cell r="O12">
            <v>163</v>
          </cell>
        </row>
        <row r="13">
          <cell r="B13">
            <v>14</v>
          </cell>
          <cell r="C13">
            <v>2</v>
          </cell>
          <cell r="D13">
            <v>5</v>
          </cell>
          <cell r="E13">
            <v>0</v>
          </cell>
          <cell r="F13">
            <v>3</v>
          </cell>
          <cell r="G13">
            <v>40</v>
          </cell>
          <cell r="H13">
            <v>3</v>
          </cell>
          <cell r="I13">
            <v>7</v>
          </cell>
          <cell r="J13">
            <v>11</v>
          </cell>
          <cell r="K13">
            <v>9</v>
          </cell>
          <cell r="L13">
            <v>2</v>
          </cell>
          <cell r="M13">
            <v>0</v>
          </cell>
          <cell r="N13">
            <v>0</v>
          </cell>
          <cell r="O13">
            <v>96</v>
          </cell>
        </row>
        <row r="14">
          <cell r="B14">
            <v>25</v>
          </cell>
          <cell r="C14">
            <v>5</v>
          </cell>
          <cell r="D14">
            <v>8</v>
          </cell>
          <cell r="E14">
            <v>0</v>
          </cell>
          <cell r="F14">
            <v>1</v>
          </cell>
          <cell r="G14">
            <v>50</v>
          </cell>
          <cell r="H14">
            <v>0</v>
          </cell>
          <cell r="I14">
            <v>11</v>
          </cell>
          <cell r="J14">
            <v>21</v>
          </cell>
          <cell r="K14">
            <v>7</v>
          </cell>
          <cell r="L14">
            <v>5</v>
          </cell>
          <cell r="M14">
            <v>0</v>
          </cell>
          <cell r="N14">
            <v>0</v>
          </cell>
          <cell r="O14">
            <v>133</v>
          </cell>
        </row>
        <row r="15">
          <cell r="B15">
            <v>7</v>
          </cell>
          <cell r="C15">
            <v>2</v>
          </cell>
          <cell r="D15">
            <v>2</v>
          </cell>
          <cell r="E15">
            <v>0</v>
          </cell>
          <cell r="F15">
            <v>0</v>
          </cell>
          <cell r="G15">
            <v>15</v>
          </cell>
          <cell r="H15">
            <v>2</v>
          </cell>
          <cell r="I15">
            <v>8</v>
          </cell>
          <cell r="J15">
            <v>19</v>
          </cell>
          <cell r="K15">
            <v>6</v>
          </cell>
          <cell r="L15">
            <v>5</v>
          </cell>
          <cell r="M15">
            <v>0</v>
          </cell>
          <cell r="N15">
            <v>0</v>
          </cell>
          <cell r="O15">
            <v>66</v>
          </cell>
        </row>
        <row r="16">
          <cell r="B16">
            <v>19</v>
          </cell>
          <cell r="C16">
            <v>3</v>
          </cell>
          <cell r="D16">
            <v>11</v>
          </cell>
          <cell r="E16">
            <v>0</v>
          </cell>
          <cell r="F16">
            <v>3</v>
          </cell>
          <cell r="G16">
            <v>23</v>
          </cell>
          <cell r="H16">
            <v>2</v>
          </cell>
          <cell r="I16">
            <v>6</v>
          </cell>
          <cell r="J16">
            <v>12</v>
          </cell>
          <cell r="K16">
            <v>11</v>
          </cell>
          <cell r="L16">
            <v>2</v>
          </cell>
          <cell r="M16">
            <v>0</v>
          </cell>
          <cell r="N16">
            <v>0</v>
          </cell>
          <cell r="O16">
            <v>92</v>
          </cell>
        </row>
        <row r="17">
          <cell r="B17">
            <v>27</v>
          </cell>
          <cell r="C17">
            <v>5</v>
          </cell>
          <cell r="D17">
            <v>22</v>
          </cell>
          <cell r="E17">
            <v>0</v>
          </cell>
          <cell r="F17">
            <v>1</v>
          </cell>
          <cell r="G17">
            <v>15</v>
          </cell>
          <cell r="H17">
            <v>2</v>
          </cell>
          <cell r="I17">
            <v>7</v>
          </cell>
          <cell r="J17">
            <v>5</v>
          </cell>
          <cell r="K17">
            <v>42</v>
          </cell>
          <cell r="L17">
            <v>2</v>
          </cell>
          <cell r="M17">
            <v>2</v>
          </cell>
          <cell r="N17">
            <v>0</v>
          </cell>
          <cell r="O17">
            <v>130</v>
          </cell>
        </row>
        <row r="18">
          <cell r="B18">
            <v>51</v>
          </cell>
          <cell r="C18">
            <v>7</v>
          </cell>
          <cell r="D18">
            <v>21</v>
          </cell>
          <cell r="E18">
            <v>0</v>
          </cell>
          <cell r="F18">
            <v>3</v>
          </cell>
          <cell r="G18">
            <v>6</v>
          </cell>
          <cell r="H18">
            <v>5</v>
          </cell>
          <cell r="I18">
            <v>9</v>
          </cell>
          <cell r="J18">
            <v>14</v>
          </cell>
          <cell r="K18">
            <v>25</v>
          </cell>
          <cell r="L18">
            <v>2</v>
          </cell>
          <cell r="M18">
            <v>2</v>
          </cell>
          <cell r="N18">
            <v>0</v>
          </cell>
          <cell r="O18">
            <v>145</v>
          </cell>
        </row>
        <row r="19">
          <cell r="B19">
            <v>55</v>
          </cell>
          <cell r="C19">
            <v>11</v>
          </cell>
          <cell r="D19">
            <v>24</v>
          </cell>
          <cell r="E19">
            <v>0</v>
          </cell>
          <cell r="F19">
            <v>2</v>
          </cell>
          <cell r="G19">
            <v>9</v>
          </cell>
          <cell r="H19">
            <v>0</v>
          </cell>
          <cell r="I19">
            <v>9</v>
          </cell>
          <cell r="J19">
            <v>11</v>
          </cell>
          <cell r="K19">
            <v>31</v>
          </cell>
          <cell r="L19">
            <v>1</v>
          </cell>
          <cell r="M19">
            <v>3</v>
          </cell>
          <cell r="N19">
            <v>0</v>
          </cell>
          <cell r="O19">
            <v>156</v>
          </cell>
        </row>
        <row r="20">
          <cell r="B20">
            <v>24</v>
          </cell>
          <cell r="C20">
            <v>7</v>
          </cell>
          <cell r="D20">
            <v>14</v>
          </cell>
          <cell r="E20">
            <v>0</v>
          </cell>
          <cell r="F20">
            <v>5</v>
          </cell>
          <cell r="G20">
            <v>24</v>
          </cell>
          <cell r="H20">
            <v>6</v>
          </cell>
          <cell r="I20">
            <v>7</v>
          </cell>
          <cell r="J20">
            <v>20</v>
          </cell>
          <cell r="K20">
            <v>16</v>
          </cell>
          <cell r="L20">
            <v>7</v>
          </cell>
          <cell r="M20">
            <v>0</v>
          </cell>
          <cell r="N20">
            <v>0</v>
          </cell>
          <cell r="O20">
            <v>130</v>
          </cell>
        </row>
        <row r="21">
          <cell r="B21">
            <v>51</v>
          </cell>
          <cell r="C21">
            <v>25</v>
          </cell>
          <cell r="D21">
            <v>32</v>
          </cell>
          <cell r="E21">
            <v>0</v>
          </cell>
          <cell r="F21">
            <v>10</v>
          </cell>
          <cell r="G21">
            <v>34</v>
          </cell>
          <cell r="H21">
            <v>0</v>
          </cell>
          <cell r="I21">
            <v>20</v>
          </cell>
          <cell r="J21">
            <v>26</v>
          </cell>
          <cell r="K21">
            <v>35</v>
          </cell>
          <cell r="L21">
            <v>14</v>
          </cell>
          <cell r="M21">
            <v>0</v>
          </cell>
          <cell r="N21">
            <v>0</v>
          </cell>
          <cell r="O21">
            <v>247</v>
          </cell>
        </row>
        <row r="22">
          <cell r="B22">
            <v>42</v>
          </cell>
          <cell r="C22">
            <v>13</v>
          </cell>
          <cell r="D22">
            <v>28</v>
          </cell>
          <cell r="E22">
            <v>0</v>
          </cell>
          <cell r="F22">
            <v>0</v>
          </cell>
          <cell r="G22">
            <v>22</v>
          </cell>
          <cell r="H22">
            <v>1</v>
          </cell>
          <cell r="I22">
            <v>8</v>
          </cell>
          <cell r="J22">
            <v>9</v>
          </cell>
          <cell r="K22">
            <v>18</v>
          </cell>
          <cell r="L22">
            <v>0</v>
          </cell>
          <cell r="M22">
            <v>2</v>
          </cell>
          <cell r="N22">
            <v>0</v>
          </cell>
          <cell r="O22">
            <v>143</v>
          </cell>
        </row>
        <row r="23">
          <cell r="B23">
            <v>57</v>
          </cell>
          <cell r="C23">
            <v>3</v>
          </cell>
          <cell r="D23">
            <v>23</v>
          </cell>
          <cell r="E23">
            <v>0</v>
          </cell>
          <cell r="F23">
            <v>2</v>
          </cell>
          <cell r="G23">
            <v>24</v>
          </cell>
          <cell r="H23">
            <v>0</v>
          </cell>
          <cell r="I23">
            <v>3</v>
          </cell>
          <cell r="J23">
            <v>12</v>
          </cell>
          <cell r="K23">
            <v>14</v>
          </cell>
          <cell r="L23">
            <v>20</v>
          </cell>
          <cell r="M23">
            <v>0</v>
          </cell>
          <cell r="N23">
            <v>0</v>
          </cell>
          <cell r="O23">
            <v>158</v>
          </cell>
        </row>
        <row r="24">
          <cell r="B24">
            <v>38</v>
          </cell>
          <cell r="C24">
            <v>6</v>
          </cell>
          <cell r="D24">
            <v>42</v>
          </cell>
          <cell r="E24">
            <v>1</v>
          </cell>
          <cell r="F24">
            <v>5</v>
          </cell>
          <cell r="G24">
            <v>29</v>
          </cell>
          <cell r="H24">
            <v>4</v>
          </cell>
          <cell r="I24">
            <v>13</v>
          </cell>
          <cell r="J24">
            <v>9</v>
          </cell>
          <cell r="K24">
            <v>33</v>
          </cell>
          <cell r="L24">
            <v>31</v>
          </cell>
          <cell r="M24">
            <v>2</v>
          </cell>
          <cell r="N24">
            <v>0</v>
          </cell>
          <cell r="O24">
            <v>213</v>
          </cell>
        </row>
        <row r="25">
          <cell r="B25">
            <v>67</v>
          </cell>
          <cell r="C25">
            <v>19</v>
          </cell>
          <cell r="D25">
            <v>47</v>
          </cell>
          <cell r="E25">
            <v>0</v>
          </cell>
          <cell r="F25">
            <v>7</v>
          </cell>
          <cell r="G25">
            <v>40</v>
          </cell>
          <cell r="H25">
            <v>7</v>
          </cell>
          <cell r="I25">
            <v>19</v>
          </cell>
          <cell r="J25">
            <v>17</v>
          </cell>
          <cell r="K25">
            <v>37</v>
          </cell>
          <cell r="L25">
            <v>22</v>
          </cell>
          <cell r="M25">
            <v>5</v>
          </cell>
          <cell r="N25">
            <v>0</v>
          </cell>
          <cell r="O25">
            <v>287</v>
          </cell>
        </row>
        <row r="26">
          <cell r="B26">
            <v>41</v>
          </cell>
          <cell r="C26">
            <v>6</v>
          </cell>
          <cell r="D26">
            <v>44</v>
          </cell>
          <cell r="E26">
            <v>2</v>
          </cell>
          <cell r="F26">
            <v>4</v>
          </cell>
          <cell r="G26">
            <v>19</v>
          </cell>
          <cell r="H26">
            <v>4</v>
          </cell>
          <cell r="I26">
            <v>16</v>
          </cell>
          <cell r="J26">
            <v>30</v>
          </cell>
          <cell r="K26">
            <v>28</v>
          </cell>
          <cell r="L26">
            <v>10</v>
          </cell>
          <cell r="M26">
            <v>0</v>
          </cell>
          <cell r="N26">
            <v>0</v>
          </cell>
          <cell r="O26">
            <v>204</v>
          </cell>
        </row>
        <row r="27">
          <cell r="B27">
            <v>41</v>
          </cell>
          <cell r="C27">
            <v>3</v>
          </cell>
          <cell r="D27">
            <v>36</v>
          </cell>
          <cell r="E27">
            <v>0</v>
          </cell>
          <cell r="F27">
            <v>3</v>
          </cell>
          <cell r="G27">
            <v>41</v>
          </cell>
          <cell r="H27">
            <v>4</v>
          </cell>
          <cell r="I27">
            <v>26</v>
          </cell>
          <cell r="J27">
            <v>18</v>
          </cell>
          <cell r="K27">
            <v>32</v>
          </cell>
          <cell r="L27">
            <v>7</v>
          </cell>
          <cell r="M27">
            <v>0</v>
          </cell>
          <cell r="N27">
            <v>0</v>
          </cell>
          <cell r="O27">
            <v>211</v>
          </cell>
        </row>
        <row r="28">
          <cell r="B28">
            <v>40</v>
          </cell>
          <cell r="C28">
            <v>3</v>
          </cell>
          <cell r="D28">
            <v>35</v>
          </cell>
          <cell r="E28">
            <v>0</v>
          </cell>
          <cell r="F28">
            <v>2</v>
          </cell>
          <cell r="G28">
            <v>20</v>
          </cell>
          <cell r="H28">
            <v>3</v>
          </cell>
          <cell r="I28">
            <v>16</v>
          </cell>
          <cell r="J28">
            <v>19</v>
          </cell>
          <cell r="K28">
            <v>19</v>
          </cell>
          <cell r="L28">
            <v>3</v>
          </cell>
          <cell r="M28">
            <v>0</v>
          </cell>
          <cell r="N28">
            <v>0</v>
          </cell>
          <cell r="O28">
            <v>160</v>
          </cell>
        </row>
        <row r="29">
          <cell r="B29">
            <v>45</v>
          </cell>
          <cell r="C29">
            <v>9</v>
          </cell>
          <cell r="D29">
            <v>18</v>
          </cell>
          <cell r="E29">
            <v>0</v>
          </cell>
          <cell r="F29">
            <v>0</v>
          </cell>
          <cell r="G29">
            <v>11</v>
          </cell>
          <cell r="H29">
            <v>3</v>
          </cell>
          <cell r="I29">
            <v>8</v>
          </cell>
          <cell r="J29">
            <v>21</v>
          </cell>
          <cell r="K29">
            <v>37</v>
          </cell>
          <cell r="L29">
            <v>3</v>
          </cell>
          <cell r="M29">
            <v>0</v>
          </cell>
          <cell r="N29">
            <v>0</v>
          </cell>
          <cell r="O29">
            <v>155</v>
          </cell>
        </row>
        <row r="30">
          <cell r="B30">
            <v>29</v>
          </cell>
          <cell r="C30">
            <v>10</v>
          </cell>
          <cell r="D30">
            <v>17</v>
          </cell>
          <cell r="E30">
            <v>0</v>
          </cell>
          <cell r="F30">
            <v>4</v>
          </cell>
          <cell r="G30">
            <v>15</v>
          </cell>
          <cell r="H30">
            <v>2</v>
          </cell>
          <cell r="I30">
            <v>12</v>
          </cell>
          <cell r="J30">
            <v>16</v>
          </cell>
          <cell r="K30">
            <v>31</v>
          </cell>
          <cell r="L30">
            <v>8</v>
          </cell>
          <cell r="M30">
            <v>0</v>
          </cell>
          <cell r="N30">
            <v>0</v>
          </cell>
          <cell r="O30">
            <v>144</v>
          </cell>
        </row>
        <row r="31">
          <cell r="B31">
            <v>36</v>
          </cell>
          <cell r="C31">
            <v>13</v>
          </cell>
          <cell r="D31">
            <v>32</v>
          </cell>
          <cell r="E31">
            <v>0</v>
          </cell>
          <cell r="F31">
            <v>13</v>
          </cell>
          <cell r="G31">
            <v>31</v>
          </cell>
          <cell r="H31">
            <v>2</v>
          </cell>
          <cell r="I31">
            <v>27</v>
          </cell>
          <cell r="J31">
            <v>31</v>
          </cell>
          <cell r="K31">
            <v>35</v>
          </cell>
          <cell r="L31">
            <v>14</v>
          </cell>
          <cell r="M31">
            <v>0</v>
          </cell>
          <cell r="N31">
            <v>0</v>
          </cell>
          <cell r="O31">
            <v>234</v>
          </cell>
        </row>
        <row r="32">
          <cell r="B32">
            <v>25</v>
          </cell>
          <cell r="C32">
            <v>8</v>
          </cell>
          <cell r="D32">
            <v>7</v>
          </cell>
          <cell r="E32">
            <v>0</v>
          </cell>
          <cell r="F32">
            <v>0</v>
          </cell>
          <cell r="G32">
            <v>17</v>
          </cell>
          <cell r="H32">
            <v>2</v>
          </cell>
          <cell r="I32">
            <v>9</v>
          </cell>
          <cell r="J32">
            <v>10</v>
          </cell>
          <cell r="K32">
            <v>20</v>
          </cell>
          <cell r="L32">
            <v>4</v>
          </cell>
          <cell r="M32">
            <v>0</v>
          </cell>
          <cell r="N32">
            <v>0</v>
          </cell>
          <cell r="O32">
            <v>102</v>
          </cell>
        </row>
        <row r="33">
          <cell r="B33">
            <v>13</v>
          </cell>
          <cell r="C33">
            <v>2</v>
          </cell>
          <cell r="D33">
            <v>11</v>
          </cell>
          <cell r="E33">
            <v>0</v>
          </cell>
          <cell r="F33">
            <v>4</v>
          </cell>
          <cell r="G33">
            <v>9</v>
          </cell>
          <cell r="H33">
            <v>1</v>
          </cell>
          <cell r="I33">
            <v>10</v>
          </cell>
          <cell r="J33">
            <v>23</v>
          </cell>
          <cell r="K33">
            <v>35</v>
          </cell>
          <cell r="L33">
            <v>8</v>
          </cell>
          <cell r="M33">
            <v>0</v>
          </cell>
          <cell r="N33">
            <v>0</v>
          </cell>
          <cell r="O33">
            <v>116</v>
          </cell>
        </row>
        <row r="34">
          <cell r="B34">
            <v>16</v>
          </cell>
          <cell r="C34">
            <v>7</v>
          </cell>
          <cell r="D34">
            <v>16</v>
          </cell>
          <cell r="E34">
            <v>0</v>
          </cell>
          <cell r="F34">
            <v>1</v>
          </cell>
          <cell r="G34">
            <v>17</v>
          </cell>
          <cell r="H34">
            <v>0</v>
          </cell>
          <cell r="I34">
            <v>7</v>
          </cell>
          <cell r="J34">
            <v>20</v>
          </cell>
          <cell r="K34">
            <v>26</v>
          </cell>
          <cell r="L34">
            <v>11</v>
          </cell>
          <cell r="M34">
            <v>0</v>
          </cell>
          <cell r="N34">
            <v>0</v>
          </cell>
          <cell r="O34">
            <v>121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 CONFITAL -CAIHUASI "/>
      <sheetName val="Ambos lados"/>
    </sheetNames>
    <sheetDataSet>
      <sheetData sheetId="0">
        <row r="10">
          <cell r="B10" t="str">
            <v>AUTOMÓVILES VAGONETAS Y JEEP</v>
          </cell>
        </row>
        <row r="35">
          <cell r="B35">
            <v>359</v>
          </cell>
          <cell r="C35">
            <v>82</v>
          </cell>
          <cell r="D35">
            <v>260</v>
          </cell>
          <cell r="E35">
            <v>1</v>
          </cell>
          <cell r="F35">
            <v>46</v>
          </cell>
          <cell r="G35">
            <v>315</v>
          </cell>
          <cell r="H35">
            <v>26</v>
          </cell>
          <cell r="I35">
            <v>121</v>
          </cell>
          <cell r="J35">
            <v>237</v>
          </cell>
          <cell r="K35">
            <v>280</v>
          </cell>
          <cell r="L35">
            <v>74</v>
          </cell>
          <cell r="M35">
            <v>6</v>
          </cell>
          <cell r="N35">
            <v>0</v>
          </cell>
        </row>
      </sheetData>
      <sheetData sheetId="1"/>
      <sheetData sheetId="2">
        <row r="11">
          <cell r="B11">
            <v>14</v>
          </cell>
        </row>
        <row r="35">
          <cell r="B35">
            <v>370</v>
          </cell>
          <cell r="C35">
            <v>86</v>
          </cell>
          <cell r="D35">
            <v>249</v>
          </cell>
          <cell r="E35">
            <v>5</v>
          </cell>
          <cell r="F35">
            <v>46</v>
          </cell>
          <cell r="G35">
            <v>311</v>
          </cell>
          <cell r="H35">
            <v>30</v>
          </cell>
          <cell r="I35">
            <v>132</v>
          </cell>
          <cell r="J35">
            <v>260</v>
          </cell>
          <cell r="K35">
            <v>316</v>
          </cell>
          <cell r="L35">
            <v>87</v>
          </cell>
          <cell r="M35">
            <v>17</v>
          </cell>
          <cell r="N35">
            <v>0</v>
          </cell>
        </row>
      </sheetData>
      <sheetData sheetId="3"/>
      <sheetData sheetId="4">
        <row r="11">
          <cell r="B11">
            <v>24</v>
          </cell>
          <cell r="C11">
            <v>9</v>
          </cell>
          <cell r="D11">
            <v>6</v>
          </cell>
          <cell r="E11">
            <v>0</v>
          </cell>
          <cell r="F11">
            <v>7</v>
          </cell>
          <cell r="G11">
            <v>32</v>
          </cell>
          <cell r="H11">
            <v>8</v>
          </cell>
          <cell r="I11">
            <v>12</v>
          </cell>
          <cell r="J11">
            <v>15</v>
          </cell>
          <cell r="K11">
            <v>26</v>
          </cell>
          <cell r="L11">
            <v>7</v>
          </cell>
          <cell r="M11">
            <v>1</v>
          </cell>
          <cell r="N11">
            <v>0</v>
          </cell>
          <cell r="O11">
            <v>147</v>
          </cell>
        </row>
        <row r="12">
          <cell r="B12">
            <v>10</v>
          </cell>
          <cell r="C12">
            <v>1</v>
          </cell>
          <cell r="D12">
            <v>7</v>
          </cell>
          <cell r="E12">
            <v>0</v>
          </cell>
          <cell r="F12">
            <v>5</v>
          </cell>
          <cell r="G12">
            <v>70</v>
          </cell>
          <cell r="H12">
            <v>1</v>
          </cell>
          <cell r="I12">
            <v>12</v>
          </cell>
          <cell r="J12">
            <v>21</v>
          </cell>
          <cell r="K12">
            <v>21</v>
          </cell>
          <cell r="L12">
            <v>2</v>
          </cell>
          <cell r="M12">
            <v>0</v>
          </cell>
          <cell r="N12">
            <v>0</v>
          </cell>
          <cell r="O12">
            <v>150</v>
          </cell>
        </row>
        <row r="13">
          <cell r="B13">
            <v>10</v>
          </cell>
          <cell r="C13">
            <v>1</v>
          </cell>
          <cell r="D13">
            <v>4</v>
          </cell>
          <cell r="E13">
            <v>1</v>
          </cell>
          <cell r="F13">
            <v>4</v>
          </cell>
          <cell r="G13">
            <v>53</v>
          </cell>
          <cell r="H13">
            <v>2</v>
          </cell>
          <cell r="I13">
            <v>10</v>
          </cell>
          <cell r="J13">
            <v>20</v>
          </cell>
          <cell r="K13">
            <v>6</v>
          </cell>
          <cell r="L13">
            <v>0</v>
          </cell>
          <cell r="M13">
            <v>0</v>
          </cell>
          <cell r="N13">
            <v>0</v>
          </cell>
          <cell r="O13">
            <v>111</v>
          </cell>
        </row>
        <row r="14">
          <cell r="B14">
            <v>7</v>
          </cell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7</v>
          </cell>
          <cell r="H14">
            <v>0</v>
          </cell>
          <cell r="I14">
            <v>6</v>
          </cell>
          <cell r="J14">
            <v>11</v>
          </cell>
          <cell r="K14">
            <v>17</v>
          </cell>
          <cell r="L14">
            <v>2</v>
          </cell>
          <cell r="M14">
            <v>0</v>
          </cell>
          <cell r="N14">
            <v>0</v>
          </cell>
          <cell r="O14">
            <v>52</v>
          </cell>
        </row>
        <row r="15">
          <cell r="B15">
            <v>4</v>
          </cell>
          <cell r="C15">
            <v>2</v>
          </cell>
          <cell r="D15">
            <v>3</v>
          </cell>
          <cell r="E15">
            <v>0</v>
          </cell>
          <cell r="F15">
            <v>1</v>
          </cell>
          <cell r="G15">
            <v>6</v>
          </cell>
          <cell r="H15">
            <v>1</v>
          </cell>
          <cell r="I15">
            <v>4</v>
          </cell>
          <cell r="J15">
            <v>8</v>
          </cell>
          <cell r="K15">
            <v>8</v>
          </cell>
          <cell r="L15">
            <v>2</v>
          </cell>
          <cell r="M15">
            <v>0</v>
          </cell>
          <cell r="N15">
            <v>0</v>
          </cell>
          <cell r="O15">
            <v>39</v>
          </cell>
        </row>
        <row r="16">
          <cell r="B16">
            <v>12</v>
          </cell>
          <cell r="C16">
            <v>4</v>
          </cell>
          <cell r="D16">
            <v>12</v>
          </cell>
          <cell r="E16">
            <v>0</v>
          </cell>
          <cell r="F16">
            <v>0</v>
          </cell>
          <cell r="G16">
            <v>9</v>
          </cell>
          <cell r="H16">
            <v>0</v>
          </cell>
          <cell r="I16">
            <v>5</v>
          </cell>
          <cell r="J16">
            <v>14</v>
          </cell>
          <cell r="K16">
            <v>23</v>
          </cell>
          <cell r="L16">
            <v>4</v>
          </cell>
          <cell r="M16">
            <v>0</v>
          </cell>
          <cell r="N16">
            <v>0</v>
          </cell>
          <cell r="O16">
            <v>83</v>
          </cell>
        </row>
        <row r="17">
          <cell r="B17">
            <v>16</v>
          </cell>
          <cell r="C17">
            <v>6</v>
          </cell>
          <cell r="D17">
            <v>18</v>
          </cell>
          <cell r="E17">
            <v>0</v>
          </cell>
          <cell r="F17">
            <v>2</v>
          </cell>
          <cell r="G17">
            <v>10</v>
          </cell>
          <cell r="H17">
            <v>1</v>
          </cell>
          <cell r="I17">
            <v>6</v>
          </cell>
          <cell r="J17">
            <v>12</v>
          </cell>
          <cell r="K17">
            <v>30</v>
          </cell>
          <cell r="L17">
            <v>6</v>
          </cell>
          <cell r="M17">
            <v>2</v>
          </cell>
          <cell r="N17">
            <v>0</v>
          </cell>
          <cell r="O17">
            <v>109</v>
          </cell>
        </row>
        <row r="18">
          <cell r="B18">
            <v>39</v>
          </cell>
          <cell r="C18">
            <v>9</v>
          </cell>
          <cell r="D18">
            <v>17</v>
          </cell>
          <cell r="E18">
            <v>0</v>
          </cell>
          <cell r="F18">
            <v>1</v>
          </cell>
          <cell r="G18">
            <v>6</v>
          </cell>
          <cell r="H18">
            <v>1</v>
          </cell>
          <cell r="I18">
            <v>10</v>
          </cell>
          <cell r="J18">
            <v>17</v>
          </cell>
          <cell r="K18">
            <v>32</v>
          </cell>
          <cell r="L18">
            <v>2</v>
          </cell>
          <cell r="M18">
            <v>0</v>
          </cell>
          <cell r="N18">
            <v>0</v>
          </cell>
          <cell r="O18">
            <v>134</v>
          </cell>
        </row>
        <row r="19">
          <cell r="B19">
            <v>56</v>
          </cell>
          <cell r="C19">
            <v>17</v>
          </cell>
          <cell r="D19">
            <v>25</v>
          </cell>
          <cell r="E19">
            <v>2</v>
          </cell>
          <cell r="F19">
            <v>2</v>
          </cell>
          <cell r="G19">
            <v>14</v>
          </cell>
          <cell r="H19">
            <v>4</v>
          </cell>
          <cell r="I19">
            <v>4</v>
          </cell>
          <cell r="J19">
            <v>18</v>
          </cell>
          <cell r="K19">
            <v>20</v>
          </cell>
          <cell r="L19">
            <v>7</v>
          </cell>
          <cell r="M19">
            <v>4</v>
          </cell>
          <cell r="N19">
            <v>0</v>
          </cell>
          <cell r="O19">
            <v>173</v>
          </cell>
        </row>
        <row r="20">
          <cell r="B20">
            <v>38</v>
          </cell>
          <cell r="C20">
            <v>7</v>
          </cell>
          <cell r="D20">
            <v>11</v>
          </cell>
          <cell r="E20">
            <v>1</v>
          </cell>
          <cell r="F20">
            <v>1</v>
          </cell>
          <cell r="G20">
            <v>13</v>
          </cell>
          <cell r="H20">
            <v>1</v>
          </cell>
          <cell r="I20">
            <v>10</v>
          </cell>
          <cell r="J20">
            <v>13</v>
          </cell>
          <cell r="K20">
            <v>22</v>
          </cell>
          <cell r="L20">
            <v>7</v>
          </cell>
          <cell r="M20">
            <v>0</v>
          </cell>
          <cell r="N20">
            <v>0</v>
          </cell>
          <cell r="O20">
            <v>124</v>
          </cell>
        </row>
        <row r="21">
          <cell r="B21">
            <v>36</v>
          </cell>
          <cell r="C21">
            <v>7</v>
          </cell>
          <cell r="D21">
            <v>14</v>
          </cell>
          <cell r="E21">
            <v>0</v>
          </cell>
          <cell r="F21">
            <v>2</v>
          </cell>
          <cell r="G21">
            <v>18</v>
          </cell>
          <cell r="H21">
            <v>3</v>
          </cell>
          <cell r="I21">
            <v>6</v>
          </cell>
          <cell r="J21">
            <v>10</v>
          </cell>
          <cell r="K21">
            <v>17</v>
          </cell>
          <cell r="L21">
            <v>1</v>
          </cell>
          <cell r="M21">
            <v>0</v>
          </cell>
          <cell r="N21">
            <v>0</v>
          </cell>
          <cell r="O21">
            <v>114</v>
          </cell>
        </row>
        <row r="22">
          <cell r="B22">
            <v>39</v>
          </cell>
          <cell r="C22">
            <v>4</v>
          </cell>
          <cell r="D22">
            <v>9</v>
          </cell>
          <cell r="E22">
            <v>2</v>
          </cell>
          <cell r="F22">
            <v>4</v>
          </cell>
          <cell r="G22">
            <v>22</v>
          </cell>
          <cell r="H22">
            <v>2</v>
          </cell>
          <cell r="I22">
            <v>7</v>
          </cell>
          <cell r="J22">
            <v>19</v>
          </cell>
          <cell r="K22">
            <v>27</v>
          </cell>
          <cell r="L22">
            <v>7</v>
          </cell>
          <cell r="M22">
            <v>14</v>
          </cell>
          <cell r="N22">
            <v>0</v>
          </cell>
          <cell r="O22">
            <v>156</v>
          </cell>
        </row>
        <row r="23">
          <cell r="B23">
            <v>30</v>
          </cell>
          <cell r="C23">
            <v>10</v>
          </cell>
          <cell r="D23">
            <v>36</v>
          </cell>
          <cell r="E23">
            <v>0</v>
          </cell>
          <cell r="F23">
            <v>6</v>
          </cell>
          <cell r="G23">
            <v>26</v>
          </cell>
          <cell r="H23">
            <v>0</v>
          </cell>
          <cell r="I23">
            <v>8</v>
          </cell>
          <cell r="J23">
            <v>24</v>
          </cell>
          <cell r="K23">
            <v>17</v>
          </cell>
          <cell r="L23">
            <v>6</v>
          </cell>
          <cell r="M23">
            <v>0</v>
          </cell>
          <cell r="N23">
            <v>0</v>
          </cell>
          <cell r="O23">
            <v>163</v>
          </cell>
        </row>
        <row r="24">
          <cell r="B24">
            <v>30</v>
          </cell>
          <cell r="C24">
            <v>14</v>
          </cell>
          <cell r="D24">
            <v>37</v>
          </cell>
          <cell r="E24">
            <v>0</v>
          </cell>
          <cell r="F24">
            <v>4</v>
          </cell>
          <cell r="G24">
            <v>28</v>
          </cell>
          <cell r="H24">
            <v>1</v>
          </cell>
          <cell r="I24">
            <v>9</v>
          </cell>
          <cell r="J24">
            <v>29</v>
          </cell>
          <cell r="K24">
            <v>27</v>
          </cell>
          <cell r="L24">
            <v>8</v>
          </cell>
          <cell r="M24">
            <v>0</v>
          </cell>
          <cell r="N24">
            <v>0</v>
          </cell>
          <cell r="O24">
            <v>187</v>
          </cell>
        </row>
        <row r="25">
          <cell r="B25">
            <v>27</v>
          </cell>
          <cell r="C25">
            <v>10</v>
          </cell>
          <cell r="D25">
            <v>30</v>
          </cell>
          <cell r="E25">
            <v>0</v>
          </cell>
          <cell r="F25">
            <v>5</v>
          </cell>
          <cell r="G25">
            <v>34</v>
          </cell>
          <cell r="H25">
            <v>1</v>
          </cell>
          <cell r="I25">
            <v>7</v>
          </cell>
          <cell r="J25">
            <v>28</v>
          </cell>
          <cell r="K25">
            <v>27</v>
          </cell>
          <cell r="L25">
            <v>5</v>
          </cell>
          <cell r="M25">
            <v>0</v>
          </cell>
          <cell r="N25">
            <v>0</v>
          </cell>
          <cell r="O25">
            <v>174</v>
          </cell>
        </row>
        <row r="26">
          <cell r="B26">
            <v>48</v>
          </cell>
          <cell r="C26">
            <v>7</v>
          </cell>
          <cell r="D26">
            <v>45</v>
          </cell>
          <cell r="E26">
            <v>0</v>
          </cell>
          <cell r="F26">
            <v>2</v>
          </cell>
          <cell r="G26">
            <v>31</v>
          </cell>
          <cell r="H26">
            <v>5</v>
          </cell>
          <cell r="I26">
            <v>14</v>
          </cell>
          <cell r="J26">
            <v>27</v>
          </cell>
          <cell r="K26">
            <v>26</v>
          </cell>
          <cell r="L26">
            <v>12</v>
          </cell>
          <cell r="M26">
            <v>1</v>
          </cell>
          <cell r="N26">
            <v>0</v>
          </cell>
          <cell r="O26">
            <v>218</v>
          </cell>
        </row>
        <row r="27">
          <cell r="B27">
            <v>47</v>
          </cell>
          <cell r="C27">
            <v>4</v>
          </cell>
          <cell r="D27">
            <v>41</v>
          </cell>
          <cell r="E27">
            <v>0</v>
          </cell>
          <cell r="F27">
            <v>1</v>
          </cell>
          <cell r="G27">
            <v>39</v>
          </cell>
          <cell r="H27">
            <v>6</v>
          </cell>
          <cell r="I27">
            <v>22</v>
          </cell>
          <cell r="J27">
            <v>19</v>
          </cell>
          <cell r="K27">
            <v>39</v>
          </cell>
          <cell r="L27">
            <v>9</v>
          </cell>
          <cell r="M27">
            <v>1</v>
          </cell>
          <cell r="N27">
            <v>0</v>
          </cell>
          <cell r="O27">
            <v>228</v>
          </cell>
        </row>
        <row r="28">
          <cell r="B28">
            <v>50</v>
          </cell>
          <cell r="C28">
            <v>7</v>
          </cell>
          <cell r="D28">
            <v>35</v>
          </cell>
          <cell r="E28">
            <v>0</v>
          </cell>
          <cell r="F28">
            <v>3</v>
          </cell>
          <cell r="G28">
            <v>21</v>
          </cell>
          <cell r="H28">
            <v>5</v>
          </cell>
          <cell r="I28">
            <v>18</v>
          </cell>
          <cell r="J28">
            <v>21</v>
          </cell>
          <cell r="K28">
            <v>25</v>
          </cell>
          <cell r="L28">
            <v>15</v>
          </cell>
          <cell r="M28">
            <v>0</v>
          </cell>
          <cell r="N28">
            <v>0</v>
          </cell>
          <cell r="O28">
            <v>200</v>
          </cell>
        </row>
        <row r="29">
          <cell r="B29">
            <v>34</v>
          </cell>
          <cell r="C29">
            <v>7</v>
          </cell>
          <cell r="D29">
            <v>10</v>
          </cell>
          <cell r="E29">
            <v>0</v>
          </cell>
          <cell r="F29">
            <v>2</v>
          </cell>
          <cell r="G29">
            <v>13</v>
          </cell>
          <cell r="H29">
            <v>1</v>
          </cell>
          <cell r="I29">
            <v>9</v>
          </cell>
          <cell r="J29">
            <v>17</v>
          </cell>
          <cell r="K29">
            <v>26</v>
          </cell>
          <cell r="L29">
            <v>9</v>
          </cell>
          <cell r="M29">
            <v>0</v>
          </cell>
          <cell r="N29">
            <v>0</v>
          </cell>
          <cell r="O29">
            <v>128</v>
          </cell>
        </row>
        <row r="30">
          <cell r="B30">
            <v>38</v>
          </cell>
          <cell r="C30">
            <v>7</v>
          </cell>
          <cell r="D30">
            <v>21</v>
          </cell>
          <cell r="E30">
            <v>0</v>
          </cell>
          <cell r="F30">
            <v>4</v>
          </cell>
          <cell r="G30">
            <v>42</v>
          </cell>
          <cell r="H30">
            <v>3</v>
          </cell>
          <cell r="I30">
            <v>17</v>
          </cell>
          <cell r="J30">
            <v>27</v>
          </cell>
          <cell r="K30">
            <v>37</v>
          </cell>
          <cell r="L30">
            <v>11</v>
          </cell>
          <cell r="M30">
            <v>0</v>
          </cell>
          <cell r="N30">
            <v>0</v>
          </cell>
          <cell r="O30">
            <v>207</v>
          </cell>
        </row>
        <row r="31">
          <cell r="B31">
            <v>30</v>
          </cell>
          <cell r="C31">
            <v>7</v>
          </cell>
          <cell r="D31">
            <v>28</v>
          </cell>
          <cell r="E31">
            <v>0</v>
          </cell>
          <cell r="F31">
            <v>4</v>
          </cell>
          <cell r="G31">
            <v>39</v>
          </cell>
          <cell r="H31">
            <v>5</v>
          </cell>
          <cell r="I31">
            <v>12</v>
          </cell>
          <cell r="J31">
            <v>29</v>
          </cell>
          <cell r="K31">
            <v>28</v>
          </cell>
          <cell r="L31">
            <v>8</v>
          </cell>
          <cell r="M31">
            <v>0</v>
          </cell>
          <cell r="N31">
            <v>0</v>
          </cell>
          <cell r="O31">
            <v>190</v>
          </cell>
        </row>
        <row r="32">
          <cell r="B32">
            <v>34</v>
          </cell>
          <cell r="C32">
            <v>10</v>
          </cell>
          <cell r="D32">
            <v>34</v>
          </cell>
          <cell r="E32">
            <v>0</v>
          </cell>
          <cell r="F32">
            <v>13</v>
          </cell>
          <cell r="G32">
            <v>31</v>
          </cell>
          <cell r="H32">
            <v>4</v>
          </cell>
          <cell r="I32">
            <v>17</v>
          </cell>
          <cell r="J32">
            <v>42</v>
          </cell>
          <cell r="K32">
            <v>33</v>
          </cell>
          <cell r="L32">
            <v>12</v>
          </cell>
          <cell r="M32">
            <v>0</v>
          </cell>
          <cell r="N32">
            <v>0</v>
          </cell>
          <cell r="O32">
            <v>230</v>
          </cell>
        </row>
        <row r="33">
          <cell r="B33">
            <v>36</v>
          </cell>
          <cell r="C33">
            <v>8</v>
          </cell>
          <cell r="D33">
            <v>26</v>
          </cell>
          <cell r="E33">
            <v>0</v>
          </cell>
          <cell r="F33">
            <v>4</v>
          </cell>
          <cell r="G33">
            <v>34</v>
          </cell>
          <cell r="H33">
            <v>1</v>
          </cell>
          <cell r="I33">
            <v>11</v>
          </cell>
          <cell r="J33">
            <v>36</v>
          </cell>
          <cell r="K33">
            <v>35</v>
          </cell>
          <cell r="L33">
            <v>11</v>
          </cell>
          <cell r="M33">
            <v>0</v>
          </cell>
          <cell r="N33">
            <v>0</v>
          </cell>
          <cell r="O33">
            <v>202</v>
          </cell>
        </row>
        <row r="34">
          <cell r="B34">
            <v>34</v>
          </cell>
          <cell r="C34">
            <v>10</v>
          </cell>
          <cell r="D34">
            <v>39</v>
          </cell>
          <cell r="E34">
            <v>0</v>
          </cell>
          <cell r="F34">
            <v>14</v>
          </cell>
          <cell r="G34">
            <v>28</v>
          </cell>
          <cell r="H34">
            <v>0</v>
          </cell>
          <cell r="I34">
            <v>17</v>
          </cell>
          <cell r="J34">
            <v>20</v>
          </cell>
          <cell r="K34">
            <v>27</v>
          </cell>
          <cell r="L34">
            <v>8</v>
          </cell>
          <cell r="M34">
            <v>0</v>
          </cell>
          <cell r="N34">
            <v>0</v>
          </cell>
          <cell r="O34">
            <v>197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 CONFITAL - CAIHUASI"/>
      <sheetName val="Ambos lados"/>
    </sheetNames>
    <sheetDataSet>
      <sheetData sheetId="0">
        <row r="10">
          <cell r="B10" t="str">
            <v>AUTOMÓVILES VAGONETAS Y JEEP</v>
          </cell>
        </row>
        <row r="35">
          <cell r="B35">
            <v>389</v>
          </cell>
          <cell r="C35">
            <v>81</v>
          </cell>
          <cell r="D35">
            <v>249</v>
          </cell>
          <cell r="E35">
            <v>1</v>
          </cell>
          <cell r="F35">
            <v>53</v>
          </cell>
          <cell r="G35">
            <v>371</v>
          </cell>
          <cell r="H35">
            <v>39</v>
          </cell>
          <cell r="I35">
            <v>121</v>
          </cell>
          <cell r="J35">
            <v>237</v>
          </cell>
          <cell r="K35">
            <v>295</v>
          </cell>
          <cell r="L35">
            <v>113</v>
          </cell>
          <cell r="M35">
            <v>12</v>
          </cell>
          <cell r="N35">
            <v>0</v>
          </cell>
        </row>
      </sheetData>
      <sheetData sheetId="1"/>
      <sheetData sheetId="2">
        <row r="11">
          <cell r="B11">
            <v>13</v>
          </cell>
        </row>
        <row r="35">
          <cell r="B35">
            <v>401</v>
          </cell>
          <cell r="C35">
            <v>87</v>
          </cell>
          <cell r="D35">
            <v>280</v>
          </cell>
          <cell r="E35">
            <v>1</v>
          </cell>
          <cell r="F35">
            <v>52</v>
          </cell>
          <cell r="G35">
            <v>363</v>
          </cell>
          <cell r="H35">
            <v>36</v>
          </cell>
          <cell r="I35">
            <v>135</v>
          </cell>
          <cell r="J35">
            <v>239</v>
          </cell>
          <cell r="K35">
            <v>312</v>
          </cell>
          <cell r="L35">
            <v>118</v>
          </cell>
          <cell r="M35">
            <v>13</v>
          </cell>
          <cell r="N35">
            <v>0</v>
          </cell>
        </row>
      </sheetData>
      <sheetData sheetId="3"/>
      <sheetData sheetId="4">
        <row r="11">
          <cell r="B11">
            <v>24</v>
          </cell>
          <cell r="C11">
            <v>10</v>
          </cell>
          <cell r="D11">
            <v>6</v>
          </cell>
          <cell r="E11">
            <v>0</v>
          </cell>
          <cell r="F11">
            <v>4</v>
          </cell>
          <cell r="G11">
            <v>36</v>
          </cell>
          <cell r="H11">
            <v>8</v>
          </cell>
          <cell r="I11">
            <v>11</v>
          </cell>
          <cell r="J11">
            <v>18</v>
          </cell>
          <cell r="K11">
            <v>21</v>
          </cell>
          <cell r="L11">
            <v>9</v>
          </cell>
          <cell r="M11">
            <v>0</v>
          </cell>
          <cell r="N11">
            <v>0</v>
          </cell>
          <cell r="O11">
            <v>147</v>
          </cell>
        </row>
        <row r="12">
          <cell r="B12">
            <v>10</v>
          </cell>
          <cell r="C12">
            <v>3</v>
          </cell>
          <cell r="D12">
            <v>9</v>
          </cell>
          <cell r="E12">
            <v>0</v>
          </cell>
          <cell r="F12">
            <v>4</v>
          </cell>
          <cell r="G12">
            <v>54</v>
          </cell>
          <cell r="H12">
            <v>2</v>
          </cell>
          <cell r="I12">
            <v>15</v>
          </cell>
          <cell r="J12">
            <v>20</v>
          </cell>
          <cell r="K12">
            <v>18</v>
          </cell>
          <cell r="L12">
            <v>5</v>
          </cell>
          <cell r="M12">
            <v>0</v>
          </cell>
          <cell r="N12">
            <v>0</v>
          </cell>
          <cell r="O12">
            <v>140</v>
          </cell>
        </row>
        <row r="13">
          <cell r="B13">
            <v>10</v>
          </cell>
          <cell r="C13">
            <v>2</v>
          </cell>
          <cell r="D13">
            <v>6</v>
          </cell>
          <cell r="E13">
            <v>0</v>
          </cell>
          <cell r="F13">
            <v>5</v>
          </cell>
          <cell r="G13">
            <v>40</v>
          </cell>
          <cell r="H13">
            <v>4</v>
          </cell>
          <cell r="I13">
            <v>15</v>
          </cell>
          <cell r="J13">
            <v>23</v>
          </cell>
          <cell r="K13">
            <v>12</v>
          </cell>
          <cell r="L13">
            <v>8</v>
          </cell>
          <cell r="M13">
            <v>0</v>
          </cell>
          <cell r="N13">
            <v>0</v>
          </cell>
          <cell r="O13">
            <v>125</v>
          </cell>
        </row>
        <row r="14">
          <cell r="B14">
            <v>9</v>
          </cell>
          <cell r="C14">
            <v>1</v>
          </cell>
          <cell r="D14">
            <v>5</v>
          </cell>
          <cell r="E14">
            <v>0</v>
          </cell>
          <cell r="F14">
            <v>4</v>
          </cell>
          <cell r="G14">
            <v>46</v>
          </cell>
          <cell r="H14">
            <v>1</v>
          </cell>
          <cell r="I14">
            <v>4</v>
          </cell>
          <cell r="J14">
            <v>7</v>
          </cell>
          <cell r="K14">
            <v>47</v>
          </cell>
          <cell r="L14">
            <v>7</v>
          </cell>
          <cell r="M14">
            <v>0</v>
          </cell>
          <cell r="N14">
            <v>0</v>
          </cell>
          <cell r="O14">
            <v>131</v>
          </cell>
        </row>
        <row r="15">
          <cell r="B15">
            <v>7</v>
          </cell>
          <cell r="C15">
            <v>1</v>
          </cell>
          <cell r="D15">
            <v>4</v>
          </cell>
          <cell r="E15">
            <v>0</v>
          </cell>
          <cell r="F15">
            <v>3</v>
          </cell>
          <cell r="G15">
            <v>32</v>
          </cell>
          <cell r="H15">
            <v>0</v>
          </cell>
          <cell r="I15">
            <v>7</v>
          </cell>
          <cell r="J15">
            <v>14</v>
          </cell>
          <cell r="K15">
            <v>36</v>
          </cell>
          <cell r="L15">
            <v>8</v>
          </cell>
          <cell r="M15">
            <v>0</v>
          </cell>
          <cell r="N15">
            <v>0</v>
          </cell>
          <cell r="O15">
            <v>112</v>
          </cell>
        </row>
        <row r="16">
          <cell r="B16">
            <v>17</v>
          </cell>
          <cell r="C16">
            <v>4</v>
          </cell>
          <cell r="D16">
            <v>14</v>
          </cell>
          <cell r="E16">
            <v>0</v>
          </cell>
          <cell r="F16">
            <v>5</v>
          </cell>
          <cell r="G16">
            <v>56</v>
          </cell>
          <cell r="H16">
            <v>5</v>
          </cell>
          <cell r="I16">
            <v>10</v>
          </cell>
          <cell r="J16">
            <v>15</v>
          </cell>
          <cell r="K16">
            <v>38</v>
          </cell>
          <cell r="L16">
            <v>13</v>
          </cell>
          <cell r="M16">
            <v>3</v>
          </cell>
          <cell r="N16">
            <v>0</v>
          </cell>
          <cell r="O16">
            <v>180</v>
          </cell>
        </row>
        <row r="17">
          <cell r="B17">
            <v>22</v>
          </cell>
          <cell r="C17">
            <v>9</v>
          </cell>
          <cell r="D17">
            <v>24</v>
          </cell>
          <cell r="E17">
            <v>0</v>
          </cell>
          <cell r="F17">
            <v>2</v>
          </cell>
          <cell r="G17">
            <v>11</v>
          </cell>
          <cell r="H17">
            <v>0</v>
          </cell>
          <cell r="I17">
            <v>5</v>
          </cell>
          <cell r="J17">
            <v>10</v>
          </cell>
          <cell r="K17">
            <v>28</v>
          </cell>
          <cell r="L17">
            <v>5</v>
          </cell>
          <cell r="M17">
            <v>0</v>
          </cell>
          <cell r="N17">
            <v>0</v>
          </cell>
          <cell r="O17">
            <v>116</v>
          </cell>
        </row>
        <row r="18">
          <cell r="B18">
            <v>36</v>
          </cell>
          <cell r="C18">
            <v>8</v>
          </cell>
          <cell r="D18">
            <v>24</v>
          </cell>
          <cell r="E18">
            <v>0</v>
          </cell>
          <cell r="F18">
            <v>3</v>
          </cell>
          <cell r="G18">
            <v>5</v>
          </cell>
          <cell r="H18">
            <v>1</v>
          </cell>
          <cell r="I18">
            <v>2</v>
          </cell>
          <cell r="J18">
            <v>9</v>
          </cell>
          <cell r="K18">
            <v>16</v>
          </cell>
          <cell r="L18">
            <v>5</v>
          </cell>
          <cell r="M18">
            <v>0</v>
          </cell>
          <cell r="N18">
            <v>0</v>
          </cell>
          <cell r="O18">
            <v>109</v>
          </cell>
        </row>
        <row r="19">
          <cell r="B19">
            <v>78</v>
          </cell>
          <cell r="C19">
            <v>6</v>
          </cell>
          <cell r="D19">
            <v>25</v>
          </cell>
          <cell r="E19">
            <v>0</v>
          </cell>
          <cell r="F19">
            <v>2</v>
          </cell>
          <cell r="G19">
            <v>12</v>
          </cell>
          <cell r="H19">
            <v>2</v>
          </cell>
          <cell r="I19">
            <v>2</v>
          </cell>
          <cell r="J19">
            <v>14</v>
          </cell>
          <cell r="K19">
            <v>8</v>
          </cell>
          <cell r="L19">
            <v>3</v>
          </cell>
          <cell r="M19">
            <v>2</v>
          </cell>
          <cell r="N19">
            <v>0</v>
          </cell>
          <cell r="O19">
            <v>154</v>
          </cell>
        </row>
        <row r="20">
          <cell r="B20">
            <v>58</v>
          </cell>
          <cell r="C20">
            <v>15</v>
          </cell>
          <cell r="D20">
            <v>31</v>
          </cell>
          <cell r="E20">
            <v>0</v>
          </cell>
          <cell r="F20">
            <v>2</v>
          </cell>
          <cell r="G20">
            <v>18</v>
          </cell>
          <cell r="H20">
            <v>1</v>
          </cell>
          <cell r="I20">
            <v>4</v>
          </cell>
          <cell r="J20">
            <v>11</v>
          </cell>
          <cell r="K20">
            <v>16</v>
          </cell>
          <cell r="L20">
            <v>6</v>
          </cell>
          <cell r="M20">
            <v>3</v>
          </cell>
          <cell r="N20">
            <v>0</v>
          </cell>
          <cell r="O20">
            <v>165</v>
          </cell>
        </row>
        <row r="21">
          <cell r="B21">
            <v>52</v>
          </cell>
          <cell r="C21">
            <v>14</v>
          </cell>
          <cell r="D21">
            <v>24</v>
          </cell>
          <cell r="E21">
            <v>0</v>
          </cell>
          <cell r="F21">
            <v>3</v>
          </cell>
          <cell r="G21">
            <v>23</v>
          </cell>
          <cell r="H21">
            <v>8</v>
          </cell>
          <cell r="I21">
            <v>17</v>
          </cell>
          <cell r="J21">
            <v>18</v>
          </cell>
          <cell r="K21">
            <v>13</v>
          </cell>
          <cell r="L21">
            <v>12</v>
          </cell>
          <cell r="M21">
            <v>4</v>
          </cell>
          <cell r="N21">
            <v>0</v>
          </cell>
          <cell r="O21">
            <v>188</v>
          </cell>
        </row>
        <row r="22">
          <cell r="B22">
            <v>72</v>
          </cell>
          <cell r="C22">
            <v>11</v>
          </cell>
          <cell r="D22">
            <v>31</v>
          </cell>
          <cell r="E22">
            <v>0</v>
          </cell>
          <cell r="F22">
            <v>3</v>
          </cell>
          <cell r="G22">
            <v>23</v>
          </cell>
          <cell r="H22">
            <v>3</v>
          </cell>
          <cell r="I22">
            <v>6</v>
          </cell>
          <cell r="J22">
            <v>12</v>
          </cell>
          <cell r="K22">
            <v>21</v>
          </cell>
          <cell r="L22">
            <v>10</v>
          </cell>
          <cell r="M22">
            <v>2</v>
          </cell>
          <cell r="N22">
            <v>0</v>
          </cell>
          <cell r="O22">
            <v>194</v>
          </cell>
        </row>
        <row r="23">
          <cell r="B23">
            <v>43</v>
          </cell>
          <cell r="C23">
            <v>9</v>
          </cell>
          <cell r="D23">
            <v>43</v>
          </cell>
          <cell r="E23">
            <v>1</v>
          </cell>
          <cell r="F23">
            <v>4</v>
          </cell>
          <cell r="G23">
            <v>40</v>
          </cell>
          <cell r="H23">
            <v>5</v>
          </cell>
          <cell r="I23">
            <v>15</v>
          </cell>
          <cell r="J23">
            <v>29</v>
          </cell>
          <cell r="K23">
            <v>30</v>
          </cell>
          <cell r="L23">
            <v>12</v>
          </cell>
          <cell r="M23">
            <v>4</v>
          </cell>
          <cell r="N23">
            <v>0</v>
          </cell>
          <cell r="O23">
            <v>235</v>
          </cell>
        </row>
        <row r="24">
          <cell r="B24">
            <v>46</v>
          </cell>
          <cell r="C24">
            <v>7</v>
          </cell>
          <cell r="D24">
            <v>39</v>
          </cell>
          <cell r="E24">
            <v>1</v>
          </cell>
          <cell r="F24">
            <v>9</v>
          </cell>
          <cell r="G24">
            <v>35</v>
          </cell>
          <cell r="H24">
            <v>5</v>
          </cell>
          <cell r="I24">
            <v>19</v>
          </cell>
          <cell r="J24">
            <v>17</v>
          </cell>
          <cell r="K24">
            <v>26</v>
          </cell>
          <cell r="L24">
            <v>11</v>
          </cell>
          <cell r="M24">
            <v>4</v>
          </cell>
          <cell r="N24">
            <v>0</v>
          </cell>
          <cell r="O24">
            <v>219</v>
          </cell>
        </row>
        <row r="25">
          <cell r="B25">
            <v>36</v>
          </cell>
          <cell r="C25">
            <v>8</v>
          </cell>
          <cell r="D25">
            <v>38</v>
          </cell>
          <cell r="E25">
            <v>0</v>
          </cell>
          <cell r="F25">
            <v>4</v>
          </cell>
          <cell r="G25">
            <v>31</v>
          </cell>
          <cell r="H25">
            <v>4</v>
          </cell>
          <cell r="I25">
            <v>22</v>
          </cell>
          <cell r="J25">
            <v>23</v>
          </cell>
          <cell r="K25">
            <v>23</v>
          </cell>
          <cell r="L25">
            <v>12</v>
          </cell>
          <cell r="M25">
            <v>3</v>
          </cell>
          <cell r="N25">
            <v>0</v>
          </cell>
          <cell r="O25">
            <v>204</v>
          </cell>
        </row>
        <row r="26">
          <cell r="B26">
            <v>32</v>
          </cell>
          <cell r="C26">
            <v>9</v>
          </cell>
          <cell r="D26">
            <v>28</v>
          </cell>
          <cell r="E26">
            <v>0</v>
          </cell>
          <cell r="F26">
            <v>8</v>
          </cell>
          <cell r="G26">
            <v>21</v>
          </cell>
          <cell r="H26">
            <v>2</v>
          </cell>
          <cell r="I26">
            <v>5</v>
          </cell>
          <cell r="J26">
            <v>26</v>
          </cell>
          <cell r="K26">
            <v>24</v>
          </cell>
          <cell r="L26">
            <v>11</v>
          </cell>
          <cell r="M26">
            <v>0</v>
          </cell>
          <cell r="N26">
            <v>0</v>
          </cell>
          <cell r="O26">
            <v>166</v>
          </cell>
        </row>
        <row r="27">
          <cell r="B27">
            <v>32</v>
          </cell>
          <cell r="C27">
            <v>7</v>
          </cell>
          <cell r="D27">
            <v>32</v>
          </cell>
          <cell r="E27">
            <v>0</v>
          </cell>
          <cell r="F27">
            <v>5</v>
          </cell>
          <cell r="G27">
            <v>0</v>
          </cell>
          <cell r="H27">
            <v>7</v>
          </cell>
          <cell r="I27">
            <v>3</v>
          </cell>
          <cell r="J27">
            <v>27</v>
          </cell>
          <cell r="K27">
            <v>30</v>
          </cell>
          <cell r="L27">
            <v>8</v>
          </cell>
          <cell r="M27">
            <v>0</v>
          </cell>
          <cell r="N27">
            <v>0</v>
          </cell>
          <cell r="O27">
            <v>151</v>
          </cell>
        </row>
        <row r="28">
          <cell r="B28">
            <v>30</v>
          </cell>
          <cell r="C28">
            <v>9</v>
          </cell>
          <cell r="D28">
            <v>33</v>
          </cell>
          <cell r="E28">
            <v>0</v>
          </cell>
          <cell r="F28">
            <v>4</v>
          </cell>
          <cell r="G28">
            <v>25</v>
          </cell>
          <cell r="H28">
            <v>4</v>
          </cell>
          <cell r="I28">
            <v>14</v>
          </cell>
          <cell r="J28">
            <v>19</v>
          </cell>
          <cell r="K28">
            <v>23</v>
          </cell>
          <cell r="L28">
            <v>6</v>
          </cell>
          <cell r="M28">
            <v>0</v>
          </cell>
          <cell r="N28">
            <v>0</v>
          </cell>
          <cell r="O28">
            <v>167</v>
          </cell>
        </row>
        <row r="29">
          <cell r="B29">
            <v>43</v>
          </cell>
          <cell r="C29">
            <v>8</v>
          </cell>
          <cell r="D29">
            <v>17</v>
          </cell>
          <cell r="E29">
            <v>0</v>
          </cell>
          <cell r="F29">
            <v>3</v>
          </cell>
          <cell r="G29">
            <v>23</v>
          </cell>
          <cell r="H29">
            <v>4</v>
          </cell>
          <cell r="I29">
            <v>8</v>
          </cell>
          <cell r="J29">
            <v>19</v>
          </cell>
          <cell r="K29">
            <v>27</v>
          </cell>
          <cell r="L29">
            <v>13</v>
          </cell>
          <cell r="M29">
            <v>0</v>
          </cell>
          <cell r="N29">
            <v>0</v>
          </cell>
          <cell r="O29">
            <v>165</v>
          </cell>
        </row>
        <row r="30">
          <cell r="B30">
            <v>43</v>
          </cell>
          <cell r="C30">
            <v>6</v>
          </cell>
          <cell r="D30">
            <v>26</v>
          </cell>
          <cell r="E30">
            <v>0</v>
          </cell>
          <cell r="F30">
            <v>3</v>
          </cell>
          <cell r="G30">
            <v>37</v>
          </cell>
          <cell r="H30">
            <v>5</v>
          </cell>
          <cell r="I30">
            <v>15</v>
          </cell>
          <cell r="J30">
            <v>38</v>
          </cell>
          <cell r="K30">
            <v>28</v>
          </cell>
          <cell r="L30">
            <v>9</v>
          </cell>
          <cell r="M30">
            <v>0</v>
          </cell>
          <cell r="N30">
            <v>0</v>
          </cell>
          <cell r="O30">
            <v>210</v>
          </cell>
        </row>
        <row r="31">
          <cell r="B31">
            <v>37</v>
          </cell>
          <cell r="C31">
            <v>6</v>
          </cell>
          <cell r="D31">
            <v>19</v>
          </cell>
          <cell r="E31">
            <v>0</v>
          </cell>
          <cell r="F31">
            <v>3</v>
          </cell>
          <cell r="G31">
            <v>33</v>
          </cell>
          <cell r="H31">
            <v>2</v>
          </cell>
          <cell r="I31">
            <v>19</v>
          </cell>
          <cell r="J31">
            <v>32</v>
          </cell>
          <cell r="K31">
            <v>28</v>
          </cell>
          <cell r="L31">
            <v>9</v>
          </cell>
          <cell r="M31">
            <v>0</v>
          </cell>
          <cell r="N31">
            <v>0</v>
          </cell>
          <cell r="O31">
            <v>188</v>
          </cell>
        </row>
        <row r="32">
          <cell r="B32">
            <v>27</v>
          </cell>
          <cell r="C32">
            <v>1</v>
          </cell>
          <cell r="D32">
            <v>21</v>
          </cell>
          <cell r="E32">
            <v>0</v>
          </cell>
          <cell r="F32">
            <v>4</v>
          </cell>
          <cell r="G32">
            <v>25</v>
          </cell>
          <cell r="H32">
            <v>1</v>
          </cell>
          <cell r="I32">
            <v>11</v>
          </cell>
          <cell r="J32">
            <v>24</v>
          </cell>
          <cell r="K32">
            <v>26</v>
          </cell>
          <cell r="L32">
            <v>15</v>
          </cell>
          <cell r="M32">
            <v>0</v>
          </cell>
          <cell r="N32">
            <v>0</v>
          </cell>
          <cell r="O32">
            <v>155</v>
          </cell>
        </row>
        <row r="33">
          <cell r="B33">
            <v>18</v>
          </cell>
          <cell r="C33">
            <v>6</v>
          </cell>
          <cell r="D33">
            <v>18</v>
          </cell>
          <cell r="E33">
            <v>0</v>
          </cell>
          <cell r="F33">
            <v>10</v>
          </cell>
          <cell r="G33">
            <v>47</v>
          </cell>
          <cell r="H33">
            <v>1</v>
          </cell>
          <cell r="I33">
            <v>15</v>
          </cell>
          <cell r="J33">
            <v>26</v>
          </cell>
          <cell r="K33">
            <v>28</v>
          </cell>
          <cell r="L33">
            <v>13</v>
          </cell>
          <cell r="M33">
            <v>0</v>
          </cell>
          <cell r="N33">
            <v>0</v>
          </cell>
          <cell r="O33">
            <v>182</v>
          </cell>
        </row>
        <row r="34">
          <cell r="B34">
            <v>8</v>
          </cell>
          <cell r="C34">
            <v>8</v>
          </cell>
          <cell r="D34">
            <v>12</v>
          </cell>
          <cell r="E34">
            <v>0</v>
          </cell>
          <cell r="F34">
            <v>8</v>
          </cell>
          <cell r="G34">
            <v>61</v>
          </cell>
          <cell r="H34">
            <v>0</v>
          </cell>
          <cell r="I34">
            <v>12</v>
          </cell>
          <cell r="J34">
            <v>25</v>
          </cell>
          <cell r="K34">
            <v>40</v>
          </cell>
          <cell r="L34">
            <v>21</v>
          </cell>
          <cell r="M34">
            <v>0</v>
          </cell>
          <cell r="N34">
            <v>0</v>
          </cell>
          <cell r="O34">
            <v>195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opLeftCell="A31" zoomScale="115" zoomScaleNormal="115" workbookViewId="0">
      <selection activeCell="I42" sqref="I42"/>
    </sheetView>
  </sheetViews>
  <sheetFormatPr baseColWidth="10" defaultColWidth="11.5703125" defaultRowHeight="15" x14ac:dyDescent="0.25"/>
  <cols>
    <col min="1" max="1" width="13.7109375" bestFit="1" customWidth="1"/>
    <col min="2" max="2" width="10.7109375" bestFit="1" customWidth="1"/>
    <col min="3" max="3" width="12.28515625" bestFit="1" customWidth="1"/>
    <col min="4" max="4" width="10.5703125" bestFit="1" customWidth="1"/>
    <col min="5" max="5" width="8.5703125" bestFit="1" customWidth="1"/>
    <col min="6" max="6" width="9.5703125" bestFit="1" customWidth="1"/>
    <col min="7" max="7" width="10.5703125" bestFit="1" customWidth="1"/>
    <col min="8" max="8" width="9.5703125" bestFit="1" customWidth="1"/>
    <col min="9" max="11" width="10.5703125" bestFit="1" customWidth="1"/>
    <col min="12" max="13" width="9.5703125" bestFit="1" customWidth="1"/>
    <col min="14" max="14" width="8" customWidth="1"/>
    <col min="15" max="15" width="12" bestFit="1" customWidth="1"/>
  </cols>
  <sheetData>
    <row r="1" spans="1:17" ht="74.25" customHeight="1" thickTop="1" x14ac:dyDescent="0.25">
      <c r="A1" s="14"/>
      <c r="B1" s="15" t="s">
        <v>35</v>
      </c>
      <c r="C1" s="15" t="s">
        <v>36</v>
      </c>
      <c r="D1" s="15" t="s">
        <v>37</v>
      </c>
      <c r="E1" s="15" t="s">
        <v>38</v>
      </c>
      <c r="F1" s="15" t="s">
        <v>39</v>
      </c>
      <c r="G1" s="15" t="s">
        <v>40</v>
      </c>
      <c r="H1" s="15" t="s">
        <v>41</v>
      </c>
      <c r="I1" s="15" t="s">
        <v>42</v>
      </c>
      <c r="J1" s="15" t="s">
        <v>43</v>
      </c>
      <c r="K1" s="15" t="s">
        <v>44</v>
      </c>
      <c r="L1" s="15" t="s">
        <v>45</v>
      </c>
      <c r="M1" s="15" t="s">
        <v>46</v>
      </c>
      <c r="N1" s="15" t="s">
        <v>47</v>
      </c>
      <c r="O1" s="16"/>
    </row>
    <row r="2" spans="1:17" ht="15.75" x14ac:dyDescent="0.25">
      <c r="A2" s="17" t="s">
        <v>49</v>
      </c>
      <c r="B2" s="21">
        <f>'[1]DP8 CAIHUASI S1'!B35</f>
        <v>549</v>
      </c>
      <c r="C2" s="21">
        <f>'[1]DP8 CAIHUASI S1'!C35</f>
        <v>94</v>
      </c>
      <c r="D2" s="21">
        <f>'[1]DP8 CAIHUASI S1'!D35</f>
        <v>323</v>
      </c>
      <c r="E2" s="21">
        <f>'[1]DP8 CAIHUASI S1'!E35</f>
        <v>0</v>
      </c>
      <c r="F2" s="21">
        <f>'[1]DP8 CAIHUASI S1'!F35</f>
        <v>40</v>
      </c>
      <c r="G2" s="21">
        <f>'[1]DP8 CAIHUASI S1'!G35</f>
        <v>268</v>
      </c>
      <c r="H2" s="21">
        <f>'[1]DP8 CAIHUASI S1'!H35</f>
        <v>44</v>
      </c>
      <c r="I2" s="21">
        <f>'[1]DP8 CAIHUASI S1'!I35</f>
        <v>110</v>
      </c>
      <c r="J2" s="21">
        <f>'[1]DP8 CAIHUASI S1'!J35</f>
        <v>219</v>
      </c>
      <c r="K2" s="21">
        <f>'[1]DP8 CAIHUASI S1'!K35</f>
        <v>313</v>
      </c>
      <c r="L2" s="21">
        <f>'[1]DP8 CAIHUASI S1'!L35</f>
        <v>88</v>
      </c>
      <c r="M2" s="21">
        <f>'[1]DP8 CAIHUASI S1'!M35</f>
        <v>10</v>
      </c>
      <c r="N2" s="21">
        <f>'[1]DP8 CAIHUASI S1'!N35</f>
        <v>0</v>
      </c>
      <c r="O2" s="84"/>
    </row>
    <row r="3" spans="1:17" ht="15.75" x14ac:dyDescent="0.25">
      <c r="A3" s="17" t="s">
        <v>50</v>
      </c>
      <c r="B3" s="21">
        <f>'[2]DP8 CAIHUASI S1'!B35</f>
        <v>642</v>
      </c>
      <c r="C3" s="21">
        <f>'[2]DP8 CAIHUASI S1'!C35</f>
        <v>74</v>
      </c>
      <c r="D3" s="21">
        <f>'[2]DP8 CAIHUASI S1'!D35</f>
        <v>273</v>
      </c>
      <c r="E3" s="21">
        <f>'[2]DP8 CAIHUASI S1'!E35</f>
        <v>0</v>
      </c>
      <c r="F3" s="21">
        <f>'[2]DP8 CAIHUASI S1'!F35</f>
        <v>48</v>
      </c>
      <c r="G3" s="21">
        <f>'[2]DP8 CAIHUASI S1'!G35</f>
        <v>245</v>
      </c>
      <c r="H3" s="21">
        <f>'[2]DP8 CAIHUASI S1'!H35</f>
        <v>20</v>
      </c>
      <c r="I3" s="21">
        <f>'[2]DP8 CAIHUASI S1'!I35</f>
        <v>109</v>
      </c>
      <c r="J3" s="21">
        <f>'[2]DP8 CAIHUASI S1'!J35</f>
        <v>135</v>
      </c>
      <c r="K3" s="21">
        <f>'[2]DP8 CAIHUASI S1'!K35</f>
        <v>209</v>
      </c>
      <c r="L3" s="21">
        <f>'[2]DP8 CAIHUASI S1'!L35</f>
        <v>42</v>
      </c>
      <c r="M3" s="21">
        <f>'[2]DP8 CAIHUASI S1'!M35</f>
        <v>13</v>
      </c>
      <c r="N3" s="21">
        <f>'[2]DP8 CAIHUASI S1'!N35</f>
        <v>0</v>
      </c>
      <c r="O3" s="84"/>
    </row>
    <row r="4" spans="1:17" ht="15.75" x14ac:dyDescent="0.25">
      <c r="A4" s="17" t="s">
        <v>51</v>
      </c>
      <c r="B4" s="21">
        <f>'[3]DP8 CAIHUASI S1'!B35</f>
        <v>512</v>
      </c>
      <c r="C4" s="21">
        <f>'[3]DP8 CAIHUASI S1'!C35</f>
        <v>90</v>
      </c>
      <c r="D4" s="21">
        <f>'[3]DP8 CAIHUASI S1'!D35</f>
        <v>242</v>
      </c>
      <c r="E4" s="21">
        <f>'[3]DP8 CAIHUASI S1'!E35</f>
        <v>4</v>
      </c>
      <c r="F4" s="21">
        <f>'[3]DP8 CAIHUASI S1'!F35</f>
        <v>24</v>
      </c>
      <c r="G4" s="21">
        <f>'[3]DP8 CAIHUASI S1'!G35</f>
        <v>307</v>
      </c>
      <c r="H4" s="21">
        <f>'[3]DP8 CAIHUASI S1'!H35</f>
        <v>25</v>
      </c>
      <c r="I4" s="21">
        <f>'[3]DP8 CAIHUASI S1'!I35</f>
        <v>101</v>
      </c>
      <c r="J4" s="21">
        <f>'[3]DP8 CAIHUASI S1'!J35</f>
        <v>144</v>
      </c>
      <c r="K4" s="21">
        <f>'[3]DP8 CAIHUASI S1'!K35</f>
        <v>156</v>
      </c>
      <c r="L4" s="21">
        <f>'[3]DP8 CAIHUASI S1'!L35</f>
        <v>43</v>
      </c>
      <c r="M4" s="21">
        <f>'[3]DP8 CAIHUASI S1'!M35</f>
        <v>13</v>
      </c>
      <c r="N4" s="21">
        <f>'[3]DP8 CAIHUASI S1'!N35</f>
        <v>0</v>
      </c>
      <c r="O4" s="84"/>
    </row>
    <row r="5" spans="1:17" ht="15.75" x14ac:dyDescent="0.25">
      <c r="A5" s="17" t="s">
        <v>52</v>
      </c>
      <c r="B5" s="21">
        <f>'[4]DP8 CAIHUASI S1'!B35</f>
        <v>369</v>
      </c>
      <c r="C5" s="21">
        <f>'[4]DP8 CAIHUASI S1'!C35</f>
        <v>64</v>
      </c>
      <c r="D5" s="21">
        <f>'[4]DP8 CAIHUASI S1'!D35</f>
        <v>240</v>
      </c>
      <c r="E5" s="21">
        <f>'[4]DP8 CAIHUASI S1'!E35</f>
        <v>1</v>
      </c>
      <c r="F5" s="21">
        <f>'[4]DP8 CAIHUASI S1'!F35</f>
        <v>44</v>
      </c>
      <c r="G5" s="21">
        <f>'[4]DP8 CAIHUASI S1'!G35</f>
        <v>254</v>
      </c>
      <c r="H5" s="21">
        <f>'[4]DP8 CAIHUASI S1'!H35</f>
        <v>22</v>
      </c>
      <c r="I5" s="21">
        <f>'[4]DP8 CAIHUASI S1'!I35</f>
        <v>113</v>
      </c>
      <c r="J5" s="21">
        <f>'[4]DP8 CAIHUASI S1'!J35</f>
        <v>194</v>
      </c>
      <c r="K5" s="21">
        <f>'[4]DP8 CAIHUASI S1'!K35</f>
        <v>203</v>
      </c>
      <c r="L5" s="21">
        <f>'[4]DP8 CAIHUASI S1'!L35</f>
        <v>41</v>
      </c>
      <c r="M5" s="21">
        <f>'[4]DP8 CAIHUASI S1'!M35</f>
        <v>4</v>
      </c>
      <c r="N5" s="21">
        <f>'[4]DP8 CAIHUASI S1'!N35</f>
        <v>0</v>
      </c>
      <c r="O5" s="84"/>
    </row>
    <row r="6" spans="1:17" ht="15.75" x14ac:dyDescent="0.25">
      <c r="A6" s="17" t="s">
        <v>53</v>
      </c>
      <c r="B6" s="21">
        <f>'[5]DP8 CAIHUASI S1'!B35</f>
        <v>373</v>
      </c>
      <c r="C6" s="21">
        <f>'[5]DP8 CAIHUASI S1'!C35</f>
        <v>77</v>
      </c>
      <c r="D6" s="21">
        <f>'[5]DP8 CAIHUASI S1'!D35</f>
        <v>230</v>
      </c>
      <c r="E6" s="21">
        <f>'[5]DP8 CAIHUASI S1'!E35</f>
        <v>1</v>
      </c>
      <c r="F6" s="21">
        <f>'[5]DP8 CAIHUASI S1'!F35</f>
        <v>45</v>
      </c>
      <c r="G6" s="21">
        <f>'[5]DP8 CAIHUASI S1'!G35</f>
        <v>316</v>
      </c>
      <c r="H6" s="21">
        <f>'[5]DP8 CAIHUASI S1'!H35</f>
        <v>34</v>
      </c>
      <c r="I6" s="21">
        <f>'[5]DP8 CAIHUASI S1'!I35</f>
        <v>159</v>
      </c>
      <c r="J6" s="21">
        <f>'[5]DP8 CAIHUASI S1'!J35</f>
        <v>194</v>
      </c>
      <c r="K6" s="21">
        <f>'[5]DP8 CAIHUASI S1'!K35</f>
        <v>302</v>
      </c>
      <c r="L6" s="21">
        <f>'[5]DP8 CAIHUASI S1'!L35</f>
        <v>100</v>
      </c>
      <c r="M6" s="21">
        <f>'[5]DP8 CAIHUASI S1'!M35</f>
        <v>10</v>
      </c>
      <c r="N6" s="21">
        <f>'[5]DP8 CAIHUASI S1'!N35</f>
        <v>0</v>
      </c>
      <c r="O6" s="84"/>
    </row>
    <row r="7" spans="1:17" ht="15.75" x14ac:dyDescent="0.25">
      <c r="A7" s="17" t="s">
        <v>54</v>
      </c>
      <c r="B7" s="21">
        <f>'[6]DP8 CAIHUASI S1'!B35</f>
        <v>359</v>
      </c>
      <c r="C7" s="21">
        <f>'[6]DP8 CAIHUASI S1'!C35</f>
        <v>82</v>
      </c>
      <c r="D7" s="21">
        <f>'[6]DP8 CAIHUASI S1'!D35</f>
        <v>260</v>
      </c>
      <c r="E7" s="21">
        <f>'[6]DP8 CAIHUASI S1'!E35</f>
        <v>1</v>
      </c>
      <c r="F7" s="21">
        <f>'[6]DP8 CAIHUASI S1'!F35</f>
        <v>46</v>
      </c>
      <c r="G7" s="21">
        <f>'[6]DP8 CAIHUASI S1'!G35</f>
        <v>315</v>
      </c>
      <c r="H7" s="21">
        <f>'[6]DP8 CAIHUASI S1'!H35</f>
        <v>26</v>
      </c>
      <c r="I7" s="21">
        <f>'[6]DP8 CAIHUASI S1'!I35</f>
        <v>121</v>
      </c>
      <c r="J7" s="21">
        <f>'[6]DP8 CAIHUASI S1'!J35</f>
        <v>237</v>
      </c>
      <c r="K7" s="21">
        <f>'[6]DP8 CAIHUASI S1'!K35</f>
        <v>280</v>
      </c>
      <c r="L7" s="21">
        <f>'[6]DP8 CAIHUASI S1'!L35</f>
        <v>74</v>
      </c>
      <c r="M7" s="21">
        <f>'[6]DP8 CAIHUASI S1'!M35</f>
        <v>6</v>
      </c>
      <c r="N7" s="21">
        <f>'[6]DP8 CAIHUASI S1'!N35</f>
        <v>0</v>
      </c>
      <c r="O7" s="84"/>
    </row>
    <row r="8" spans="1:17" ht="15.75" x14ac:dyDescent="0.25">
      <c r="A8" s="17" t="s">
        <v>55</v>
      </c>
      <c r="B8" s="21">
        <f>'[7]DP8 CAIHUASI S1'!B35</f>
        <v>389</v>
      </c>
      <c r="C8" s="21">
        <f>'[7]DP8 CAIHUASI S1'!C35</f>
        <v>81</v>
      </c>
      <c r="D8" s="21">
        <f>'[7]DP8 CAIHUASI S1'!D35</f>
        <v>249</v>
      </c>
      <c r="E8" s="21">
        <f>'[7]DP8 CAIHUASI S1'!E35</f>
        <v>1</v>
      </c>
      <c r="F8" s="21">
        <f>'[7]DP8 CAIHUASI S1'!F35</f>
        <v>53</v>
      </c>
      <c r="G8" s="21">
        <f>'[7]DP8 CAIHUASI S1'!G35</f>
        <v>371</v>
      </c>
      <c r="H8" s="21">
        <f>'[7]DP8 CAIHUASI S1'!H35</f>
        <v>39</v>
      </c>
      <c r="I8" s="21">
        <f>'[7]DP8 CAIHUASI S1'!I35</f>
        <v>121</v>
      </c>
      <c r="J8" s="21">
        <f>'[7]DP8 CAIHUASI S1'!J35</f>
        <v>237</v>
      </c>
      <c r="K8" s="21">
        <f>'[7]DP8 CAIHUASI S1'!K35</f>
        <v>295</v>
      </c>
      <c r="L8" s="21">
        <f>'[7]DP8 CAIHUASI S1'!L35</f>
        <v>113</v>
      </c>
      <c r="M8" s="21">
        <f>'[7]DP8 CAIHUASI S1'!M35</f>
        <v>12</v>
      </c>
      <c r="N8" s="21">
        <f>'[7]DP8 CAIHUASI S1'!N35</f>
        <v>0</v>
      </c>
      <c r="O8" s="84"/>
    </row>
    <row r="9" spans="1:17" ht="15.75" x14ac:dyDescent="0.25">
      <c r="A9" s="38" t="s">
        <v>48</v>
      </c>
      <c r="B9" s="21">
        <f>SUM(B2:B8)</f>
        <v>3193</v>
      </c>
      <c r="C9" s="21">
        <f t="shared" ref="C9:N9" si="0">SUM(C2:C8)</f>
        <v>562</v>
      </c>
      <c r="D9" s="21">
        <f t="shared" si="0"/>
        <v>1817</v>
      </c>
      <c r="E9" s="21">
        <f t="shared" si="0"/>
        <v>8</v>
      </c>
      <c r="F9" s="21">
        <f t="shared" si="0"/>
        <v>300</v>
      </c>
      <c r="G9" s="21">
        <f t="shared" si="0"/>
        <v>2076</v>
      </c>
      <c r="H9" s="21">
        <f t="shared" si="0"/>
        <v>210</v>
      </c>
      <c r="I9" s="21">
        <f t="shared" si="0"/>
        <v>834</v>
      </c>
      <c r="J9" s="21">
        <f t="shared" si="0"/>
        <v>1360</v>
      </c>
      <c r="K9" s="21">
        <f t="shared" si="0"/>
        <v>1758</v>
      </c>
      <c r="L9" s="21">
        <f t="shared" si="0"/>
        <v>501</v>
      </c>
      <c r="M9" s="21">
        <f t="shared" si="0"/>
        <v>68</v>
      </c>
      <c r="N9" s="21">
        <f t="shared" si="0"/>
        <v>0</v>
      </c>
      <c r="O9" s="84"/>
      <c r="Q9" s="100" t="e">
        <f>O9/O35</f>
        <v>#DIV/0!</v>
      </c>
    </row>
    <row r="10" spans="1:17" ht="16.5" customHeight="1" x14ac:dyDescent="0.25">
      <c r="A10" s="19" t="s">
        <v>83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2"/>
    </row>
    <row r="11" spans="1:17" ht="8.25" customHeight="1" x14ac:dyDescent="0.25"/>
    <row r="12" spans="1:17" ht="8.25" customHeight="1" x14ac:dyDescent="0.25"/>
    <row r="13" spans="1:17" ht="8.25" customHeight="1" thickBot="1" x14ac:dyDescent="0.3"/>
    <row r="14" spans="1:17" ht="75" thickTop="1" x14ac:dyDescent="0.25">
      <c r="A14" s="14"/>
      <c r="B14" s="15" t="s">
        <v>35</v>
      </c>
      <c r="C14" s="15" t="s">
        <v>36</v>
      </c>
      <c r="D14" s="15" t="s">
        <v>37</v>
      </c>
      <c r="E14" s="15" t="s">
        <v>38</v>
      </c>
      <c r="F14" s="15" t="s">
        <v>39</v>
      </c>
      <c r="G14" s="15" t="s">
        <v>40</v>
      </c>
      <c r="H14" s="15" t="s">
        <v>41</v>
      </c>
      <c r="I14" s="15" t="s">
        <v>42</v>
      </c>
      <c r="J14" s="15" t="s">
        <v>43</v>
      </c>
      <c r="K14" s="15" t="s">
        <v>44</v>
      </c>
      <c r="L14" s="15" t="s">
        <v>45</v>
      </c>
      <c r="M14" s="15" t="s">
        <v>46</v>
      </c>
      <c r="N14" s="15" t="s">
        <v>47</v>
      </c>
      <c r="O14" s="16"/>
    </row>
    <row r="15" spans="1:17" ht="15.75" x14ac:dyDescent="0.25">
      <c r="A15" s="17" t="s">
        <v>49</v>
      </c>
      <c r="B15" s="21">
        <f>'[1]DP6 CAIHUASI S2'!B35</f>
        <v>531</v>
      </c>
      <c r="C15" s="21">
        <f>'[1]DP6 CAIHUASI S2'!C35</f>
        <v>87</v>
      </c>
      <c r="D15" s="21">
        <f>'[1]DP6 CAIHUASI S2'!D35</f>
        <v>247</v>
      </c>
      <c r="E15" s="21">
        <f>'[1]DP6 CAIHUASI S2'!E35</f>
        <v>3</v>
      </c>
      <c r="F15" s="21">
        <f>'[1]DP6 CAIHUASI S2'!F35</f>
        <v>26</v>
      </c>
      <c r="G15" s="21">
        <f>'[1]DP6 CAIHUASI S2'!G35</f>
        <v>208</v>
      </c>
      <c r="H15" s="21">
        <f>'[1]DP6 CAIHUASI S2'!H35</f>
        <v>22</v>
      </c>
      <c r="I15" s="21">
        <f>'[1]DP6 CAIHUASI S2'!I35</f>
        <v>68</v>
      </c>
      <c r="J15" s="21">
        <f>'[1]DP6 CAIHUASI S2'!J35</f>
        <v>170</v>
      </c>
      <c r="K15" s="21">
        <f>'[1]DP6 CAIHUASI S2'!K35</f>
        <v>266</v>
      </c>
      <c r="L15" s="21">
        <f>'[1]DP6 CAIHUASI S2'!L35</f>
        <v>68</v>
      </c>
      <c r="M15" s="21">
        <f>'[1]DP6 CAIHUASI S2'!M35</f>
        <v>8</v>
      </c>
      <c r="N15" s="21">
        <f>'[1]DP6 CAIHUASI S2'!N35</f>
        <v>0</v>
      </c>
      <c r="O15" s="84"/>
    </row>
    <row r="16" spans="1:17" ht="15.75" x14ac:dyDescent="0.25">
      <c r="A16" s="17" t="s">
        <v>50</v>
      </c>
      <c r="B16" s="21">
        <f>'[2]DP6 CAIHUASI S2'!B35</f>
        <v>781</v>
      </c>
      <c r="C16" s="21">
        <f>'[2]DP6 CAIHUASI S2'!C35</f>
        <v>103</v>
      </c>
      <c r="D16" s="21">
        <f>'[2]DP6 CAIHUASI S2'!D35</f>
        <v>295</v>
      </c>
      <c r="E16" s="21">
        <f>'[2]DP6 CAIHUASI S2'!E35</f>
        <v>1</v>
      </c>
      <c r="F16" s="21">
        <f>'[2]DP6 CAIHUASI S2'!F35</f>
        <v>34</v>
      </c>
      <c r="G16" s="21">
        <f>'[2]DP6 CAIHUASI S2'!G35</f>
        <v>293</v>
      </c>
      <c r="H16" s="21">
        <f>'[2]DP6 CAIHUASI S2'!H35</f>
        <v>29</v>
      </c>
      <c r="I16" s="21">
        <f>'[2]DP6 CAIHUASI S2'!I35</f>
        <v>99</v>
      </c>
      <c r="J16" s="21">
        <f>'[2]DP6 CAIHUASI S2'!J35</f>
        <v>181</v>
      </c>
      <c r="K16" s="21">
        <f>'[2]DP6 CAIHUASI S2'!K35</f>
        <v>283</v>
      </c>
      <c r="L16" s="21">
        <f>'[2]DP6 CAIHUASI S2'!L35</f>
        <v>52</v>
      </c>
      <c r="M16" s="21">
        <f>'[2]DP6 CAIHUASI S2'!M35</f>
        <v>18</v>
      </c>
      <c r="N16" s="21">
        <f>'[2]DP6 CAIHUASI S2'!N35</f>
        <v>0</v>
      </c>
      <c r="O16" s="84"/>
    </row>
    <row r="17" spans="1:17" ht="15.75" x14ac:dyDescent="0.25">
      <c r="A17" s="17" t="s">
        <v>51</v>
      </c>
      <c r="B17" s="21">
        <f>'[3]DP6 CAIHUASI S2'!B35</f>
        <v>596</v>
      </c>
      <c r="C17" s="21">
        <f>'[3]DP6 CAIHUASI S2'!C35</f>
        <v>79</v>
      </c>
      <c r="D17" s="21">
        <f>'[3]DP6 CAIHUASI S2'!D35</f>
        <v>293</v>
      </c>
      <c r="E17" s="21">
        <f>'[3]DP6 CAIHUASI S2'!E35</f>
        <v>2</v>
      </c>
      <c r="F17" s="21">
        <f>'[3]DP6 CAIHUASI S2'!F35</f>
        <v>78</v>
      </c>
      <c r="G17" s="21">
        <f>'[3]DP6 CAIHUASI S2'!G35</f>
        <v>271</v>
      </c>
      <c r="H17" s="21">
        <f>'[3]DP6 CAIHUASI S2'!H35</f>
        <v>20</v>
      </c>
      <c r="I17" s="21">
        <f>'[3]DP6 CAIHUASI S2'!I35</f>
        <v>118</v>
      </c>
      <c r="J17" s="21">
        <f>'[3]DP6 CAIHUASI S2'!J35</f>
        <v>155</v>
      </c>
      <c r="K17" s="21">
        <f>'[3]DP6 CAIHUASI S2'!K35</f>
        <v>173</v>
      </c>
      <c r="L17" s="21">
        <f>'[3]DP6 CAIHUASI S2'!L35</f>
        <v>72</v>
      </c>
      <c r="M17" s="21">
        <f>'[3]DP6 CAIHUASI S2'!M35</f>
        <v>8</v>
      </c>
      <c r="N17" s="21">
        <f>'[3]DP6 CAIHUASI S2'!N35</f>
        <v>0</v>
      </c>
      <c r="O17" s="84"/>
    </row>
    <row r="18" spans="1:17" ht="15.75" x14ac:dyDescent="0.25">
      <c r="A18" s="17" t="s">
        <v>52</v>
      </c>
      <c r="B18" s="21">
        <f>'[4]DP6 CAIHUASI S2'!B35</f>
        <v>410</v>
      </c>
      <c r="C18" s="21">
        <f>'[4]DP6 CAIHUASI S2'!C35</f>
        <v>76</v>
      </c>
      <c r="D18" s="21">
        <f>'[4]DP6 CAIHUASI S2'!D35</f>
        <v>259</v>
      </c>
      <c r="E18" s="21">
        <f>'[4]DP6 CAIHUASI S2'!E35</f>
        <v>1</v>
      </c>
      <c r="F18" s="21">
        <f>'[4]DP6 CAIHUASI S2'!F35</f>
        <v>23</v>
      </c>
      <c r="G18" s="21">
        <f>'[4]DP6 CAIHUASI S2'!G35</f>
        <v>273</v>
      </c>
      <c r="H18" s="21">
        <f>'[4]DP6 CAIHUASI S2'!H35</f>
        <v>15</v>
      </c>
      <c r="I18" s="21">
        <f>'[4]DP6 CAIHUASI S2'!I35</f>
        <v>128</v>
      </c>
      <c r="J18" s="21">
        <f>'[4]DP6 CAIHUASI S2'!J35</f>
        <v>176</v>
      </c>
      <c r="K18" s="21">
        <f>'[4]DP6 CAIHUASI S2'!K35</f>
        <v>230</v>
      </c>
      <c r="L18" s="21">
        <f>'[4]DP6 CAIHUASI S2'!L35</f>
        <v>53</v>
      </c>
      <c r="M18" s="21">
        <f>'[4]DP6 CAIHUASI S2'!M35</f>
        <v>8</v>
      </c>
      <c r="N18" s="21">
        <f>'[4]DP6 CAIHUASI S2'!N35</f>
        <v>0</v>
      </c>
      <c r="O18" s="84"/>
    </row>
    <row r="19" spans="1:17" ht="15.75" x14ac:dyDescent="0.25">
      <c r="A19" s="17" t="s">
        <v>53</v>
      </c>
      <c r="B19" s="21">
        <f>'[5]DP6 CAIHUASI S2'!B35</f>
        <v>414</v>
      </c>
      <c r="C19" s="21">
        <f>'[5]DP6 CAIHUASI S2'!C35</f>
        <v>99</v>
      </c>
      <c r="D19" s="21">
        <f>'[5]DP6 CAIHUASI S2'!D35</f>
        <v>279</v>
      </c>
      <c r="E19" s="21">
        <f>'[5]DP6 CAIHUASI S2'!E35</f>
        <v>2</v>
      </c>
      <c r="F19" s="21">
        <f>'[5]DP6 CAIHUASI S2'!F35</f>
        <v>36</v>
      </c>
      <c r="G19" s="21">
        <f>'[5]DP6 CAIHUASI S2'!G35</f>
        <v>305</v>
      </c>
      <c r="H19" s="21">
        <f>'[5]DP6 CAIHUASI S2'!H35</f>
        <v>28</v>
      </c>
      <c r="I19" s="21">
        <f>'[5]DP6 CAIHUASI S2'!I35</f>
        <v>128</v>
      </c>
      <c r="J19" s="21">
        <f>'[5]DP6 CAIHUASI S2'!J35</f>
        <v>210</v>
      </c>
      <c r="K19" s="21">
        <f>'[5]DP6 CAIHUASI S2'!K35</f>
        <v>303</v>
      </c>
      <c r="L19" s="21">
        <f>'[5]DP6 CAIHUASI S2'!L35</f>
        <v>96</v>
      </c>
      <c r="M19" s="21">
        <f>'[5]DP6 CAIHUASI S2'!M35</f>
        <v>6</v>
      </c>
      <c r="N19" s="21">
        <f>'[5]DP6 CAIHUASI S2'!N35</f>
        <v>0</v>
      </c>
      <c r="O19" s="84"/>
    </row>
    <row r="20" spans="1:17" ht="15.75" x14ac:dyDescent="0.25">
      <c r="A20" s="17" t="s">
        <v>54</v>
      </c>
      <c r="B20" s="21">
        <f>'[6]DP6 CAIHUASI S2'!B35</f>
        <v>370</v>
      </c>
      <c r="C20" s="21">
        <f>'[6]DP6 CAIHUASI S2'!C35</f>
        <v>86</v>
      </c>
      <c r="D20" s="21">
        <f>'[6]DP6 CAIHUASI S2'!D35</f>
        <v>249</v>
      </c>
      <c r="E20" s="21">
        <f>'[6]DP6 CAIHUASI S2'!E35</f>
        <v>5</v>
      </c>
      <c r="F20" s="21">
        <f>'[6]DP6 CAIHUASI S2'!F35</f>
        <v>46</v>
      </c>
      <c r="G20" s="21">
        <f>'[6]DP6 CAIHUASI S2'!G35</f>
        <v>311</v>
      </c>
      <c r="H20" s="21">
        <f>'[6]DP6 CAIHUASI S2'!H35</f>
        <v>30</v>
      </c>
      <c r="I20" s="21">
        <f>'[6]DP6 CAIHUASI S2'!I35</f>
        <v>132</v>
      </c>
      <c r="J20" s="21">
        <f>'[6]DP6 CAIHUASI S2'!J35</f>
        <v>260</v>
      </c>
      <c r="K20" s="21">
        <f>'[6]DP6 CAIHUASI S2'!K35</f>
        <v>316</v>
      </c>
      <c r="L20" s="21">
        <f>'[6]DP6 CAIHUASI S2'!L35</f>
        <v>87</v>
      </c>
      <c r="M20" s="21">
        <f>'[6]DP6 CAIHUASI S2'!M35</f>
        <v>17</v>
      </c>
      <c r="N20" s="21">
        <f>'[6]DP6 CAIHUASI S2'!N35</f>
        <v>0</v>
      </c>
      <c r="O20" s="84"/>
    </row>
    <row r="21" spans="1:17" ht="15.75" x14ac:dyDescent="0.25">
      <c r="A21" s="17" t="s">
        <v>55</v>
      </c>
      <c r="B21" s="21">
        <f>'[7]DP6 CAIHUASI S2'!B35</f>
        <v>401</v>
      </c>
      <c r="C21" s="21">
        <f>'[7]DP6 CAIHUASI S2'!C35</f>
        <v>87</v>
      </c>
      <c r="D21" s="21">
        <f>'[7]DP6 CAIHUASI S2'!D35</f>
        <v>280</v>
      </c>
      <c r="E21" s="21">
        <f>'[7]DP6 CAIHUASI S2'!E35</f>
        <v>1</v>
      </c>
      <c r="F21" s="21">
        <f>'[7]DP6 CAIHUASI S2'!F35</f>
        <v>52</v>
      </c>
      <c r="G21" s="21">
        <f>'[7]DP6 CAIHUASI S2'!G35</f>
        <v>363</v>
      </c>
      <c r="H21" s="21">
        <f>'[7]DP6 CAIHUASI S2'!H35</f>
        <v>36</v>
      </c>
      <c r="I21" s="21">
        <f>'[7]DP6 CAIHUASI S2'!I35</f>
        <v>135</v>
      </c>
      <c r="J21" s="21">
        <f>'[7]DP6 CAIHUASI S2'!J35</f>
        <v>239</v>
      </c>
      <c r="K21" s="21">
        <f>'[7]DP6 CAIHUASI S2'!K35</f>
        <v>312</v>
      </c>
      <c r="L21" s="21">
        <f>'[7]DP6 CAIHUASI S2'!L35</f>
        <v>118</v>
      </c>
      <c r="M21" s="21">
        <f>'[7]DP6 CAIHUASI S2'!M35</f>
        <v>13</v>
      </c>
      <c r="N21" s="21">
        <f>'[7]DP6 CAIHUASI S2'!N35</f>
        <v>0</v>
      </c>
      <c r="O21" s="84"/>
    </row>
    <row r="22" spans="1:17" ht="15.75" x14ac:dyDescent="0.25">
      <c r="A22" s="17" t="s">
        <v>48</v>
      </c>
      <c r="B22" s="21">
        <f>SUM(B15:B21)</f>
        <v>3503</v>
      </c>
      <c r="C22" s="21">
        <f t="shared" ref="C22:N22" si="1">SUM(C15:C21)</f>
        <v>617</v>
      </c>
      <c r="D22" s="21">
        <f t="shared" si="1"/>
        <v>1902</v>
      </c>
      <c r="E22" s="21">
        <f t="shared" si="1"/>
        <v>15</v>
      </c>
      <c r="F22" s="21">
        <f t="shared" si="1"/>
        <v>295</v>
      </c>
      <c r="G22" s="21">
        <f t="shared" si="1"/>
        <v>2024</v>
      </c>
      <c r="H22" s="21">
        <f t="shared" si="1"/>
        <v>180</v>
      </c>
      <c r="I22" s="21">
        <f t="shared" si="1"/>
        <v>808</v>
      </c>
      <c r="J22" s="21">
        <f t="shared" si="1"/>
        <v>1391</v>
      </c>
      <c r="K22" s="21">
        <f t="shared" si="1"/>
        <v>1883</v>
      </c>
      <c r="L22" s="21">
        <f t="shared" si="1"/>
        <v>546</v>
      </c>
      <c r="M22" s="21">
        <f t="shared" si="1"/>
        <v>78</v>
      </c>
      <c r="N22" s="21">
        <f t="shared" si="1"/>
        <v>0</v>
      </c>
      <c r="O22" s="84"/>
      <c r="Q22" s="101" t="e">
        <f>O22/#REF!</f>
        <v>#REF!</v>
      </c>
    </row>
    <row r="23" spans="1:17" ht="15.75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18"/>
      <c r="P23" s="22"/>
    </row>
    <row r="26" spans="1:17" ht="15.75" thickBot="1" x14ac:dyDescent="0.3"/>
    <row r="27" spans="1:17" ht="75" thickTop="1" x14ac:dyDescent="0.25">
      <c r="A27" s="14"/>
      <c r="B27" s="15" t="s">
        <v>35</v>
      </c>
      <c r="C27" s="15" t="s">
        <v>36</v>
      </c>
      <c r="D27" s="15" t="s">
        <v>37</v>
      </c>
      <c r="E27" s="15" t="s">
        <v>38</v>
      </c>
      <c r="F27" s="15" t="s">
        <v>39</v>
      </c>
      <c r="G27" s="15" t="s">
        <v>40</v>
      </c>
      <c r="H27" s="15" t="s">
        <v>41</v>
      </c>
      <c r="I27" s="15" t="s">
        <v>42</v>
      </c>
      <c r="J27" s="15" t="s">
        <v>43</v>
      </c>
      <c r="K27" s="15" t="s">
        <v>44</v>
      </c>
      <c r="L27" s="15" t="s">
        <v>45</v>
      </c>
      <c r="M27" s="15" t="s">
        <v>46</v>
      </c>
      <c r="N27" s="15" t="s">
        <v>47</v>
      </c>
      <c r="O27" s="16"/>
      <c r="P27" s="85" t="s">
        <v>48</v>
      </c>
    </row>
    <row r="28" spans="1:17" ht="15.75" x14ac:dyDescent="0.25">
      <c r="A28" s="17" t="s">
        <v>49</v>
      </c>
      <c r="B28" s="21">
        <f>B2+B15</f>
        <v>1080</v>
      </c>
      <c r="C28" s="21">
        <f t="shared" ref="C28:N28" si="2">C2+C15</f>
        <v>181</v>
      </c>
      <c r="D28" s="21">
        <f t="shared" si="2"/>
        <v>570</v>
      </c>
      <c r="E28" s="21">
        <f t="shared" si="2"/>
        <v>3</v>
      </c>
      <c r="F28" s="21">
        <f t="shared" si="2"/>
        <v>66</v>
      </c>
      <c r="G28" s="21">
        <f t="shared" si="2"/>
        <v>476</v>
      </c>
      <c r="H28" s="21">
        <f t="shared" si="2"/>
        <v>66</v>
      </c>
      <c r="I28" s="21">
        <f t="shared" si="2"/>
        <v>178</v>
      </c>
      <c r="J28" s="21">
        <f t="shared" si="2"/>
        <v>389</v>
      </c>
      <c r="K28" s="21">
        <f t="shared" si="2"/>
        <v>579</v>
      </c>
      <c r="L28" s="21">
        <f t="shared" si="2"/>
        <v>156</v>
      </c>
      <c r="M28" s="21">
        <f t="shared" si="2"/>
        <v>18</v>
      </c>
      <c r="N28" s="21">
        <f t="shared" si="2"/>
        <v>0</v>
      </c>
      <c r="O28" s="18"/>
      <c r="P28" s="86">
        <f>O28/7</f>
        <v>0</v>
      </c>
    </row>
    <row r="29" spans="1:17" ht="15.75" x14ac:dyDescent="0.25">
      <c r="A29" s="17" t="s">
        <v>50</v>
      </c>
      <c r="B29" s="21">
        <f>B3+B16</f>
        <v>1423</v>
      </c>
      <c r="C29" s="21">
        <f t="shared" ref="C29:N29" si="3">C3+C16</f>
        <v>177</v>
      </c>
      <c r="D29" s="21">
        <f t="shared" si="3"/>
        <v>568</v>
      </c>
      <c r="E29" s="21">
        <f t="shared" si="3"/>
        <v>1</v>
      </c>
      <c r="F29" s="21">
        <f t="shared" si="3"/>
        <v>82</v>
      </c>
      <c r="G29" s="21">
        <f t="shared" si="3"/>
        <v>538</v>
      </c>
      <c r="H29" s="21">
        <f t="shared" si="3"/>
        <v>49</v>
      </c>
      <c r="I29" s="21">
        <f t="shared" si="3"/>
        <v>208</v>
      </c>
      <c r="J29" s="21">
        <f t="shared" si="3"/>
        <v>316</v>
      </c>
      <c r="K29" s="21">
        <f t="shared" si="3"/>
        <v>492</v>
      </c>
      <c r="L29" s="21">
        <f t="shared" si="3"/>
        <v>94</v>
      </c>
      <c r="M29" s="21">
        <f t="shared" si="3"/>
        <v>31</v>
      </c>
      <c r="N29" s="21">
        <f t="shared" si="3"/>
        <v>0</v>
      </c>
      <c r="O29" s="18"/>
      <c r="P29" s="86">
        <f t="shared" ref="P29:P34" si="4">O29/7</f>
        <v>0</v>
      </c>
    </row>
    <row r="30" spans="1:17" ht="15.75" x14ac:dyDescent="0.25">
      <c r="A30" s="17" t="s">
        <v>51</v>
      </c>
      <c r="B30" s="21">
        <f t="shared" ref="B30:N30" si="5">B4+B17</f>
        <v>1108</v>
      </c>
      <c r="C30" s="21">
        <f t="shared" si="5"/>
        <v>169</v>
      </c>
      <c r="D30" s="21">
        <f t="shared" si="5"/>
        <v>535</v>
      </c>
      <c r="E30" s="21">
        <f t="shared" si="5"/>
        <v>6</v>
      </c>
      <c r="F30" s="21">
        <f t="shared" si="5"/>
        <v>102</v>
      </c>
      <c r="G30" s="21">
        <f t="shared" si="5"/>
        <v>578</v>
      </c>
      <c r="H30" s="21">
        <f t="shared" si="5"/>
        <v>45</v>
      </c>
      <c r="I30" s="21">
        <f t="shared" si="5"/>
        <v>219</v>
      </c>
      <c r="J30" s="21">
        <f t="shared" si="5"/>
        <v>299</v>
      </c>
      <c r="K30" s="21">
        <f t="shared" si="5"/>
        <v>329</v>
      </c>
      <c r="L30" s="21">
        <f t="shared" si="5"/>
        <v>115</v>
      </c>
      <c r="M30" s="21">
        <f t="shared" si="5"/>
        <v>21</v>
      </c>
      <c r="N30" s="21">
        <f t="shared" si="5"/>
        <v>0</v>
      </c>
      <c r="O30" s="18"/>
      <c r="P30" s="86">
        <f t="shared" si="4"/>
        <v>0</v>
      </c>
    </row>
    <row r="31" spans="1:17" ht="15.75" x14ac:dyDescent="0.25">
      <c r="A31" s="17" t="s">
        <v>52</v>
      </c>
      <c r="B31" s="21">
        <f t="shared" ref="B31:N31" si="6">B5+B18</f>
        <v>779</v>
      </c>
      <c r="C31" s="21">
        <f t="shared" si="6"/>
        <v>140</v>
      </c>
      <c r="D31" s="21">
        <f t="shared" si="6"/>
        <v>499</v>
      </c>
      <c r="E31" s="21">
        <f t="shared" si="6"/>
        <v>2</v>
      </c>
      <c r="F31" s="21">
        <f t="shared" si="6"/>
        <v>67</v>
      </c>
      <c r="G31" s="21">
        <f t="shared" si="6"/>
        <v>527</v>
      </c>
      <c r="H31" s="21">
        <f t="shared" si="6"/>
        <v>37</v>
      </c>
      <c r="I31" s="21">
        <f t="shared" si="6"/>
        <v>241</v>
      </c>
      <c r="J31" s="21">
        <f t="shared" si="6"/>
        <v>370</v>
      </c>
      <c r="K31" s="21">
        <f t="shared" si="6"/>
        <v>433</v>
      </c>
      <c r="L31" s="21">
        <f t="shared" si="6"/>
        <v>94</v>
      </c>
      <c r="M31" s="21">
        <f t="shared" si="6"/>
        <v>12</v>
      </c>
      <c r="N31" s="21">
        <f t="shared" si="6"/>
        <v>0</v>
      </c>
      <c r="O31" s="18"/>
      <c r="P31" s="86">
        <f t="shared" si="4"/>
        <v>0</v>
      </c>
    </row>
    <row r="32" spans="1:17" ht="15.75" x14ac:dyDescent="0.25">
      <c r="A32" s="17" t="s">
        <v>53</v>
      </c>
      <c r="B32" s="21">
        <f t="shared" ref="B32:N32" si="7">B6+B19</f>
        <v>787</v>
      </c>
      <c r="C32" s="21">
        <f t="shared" si="7"/>
        <v>176</v>
      </c>
      <c r="D32" s="21">
        <f t="shared" si="7"/>
        <v>509</v>
      </c>
      <c r="E32" s="21">
        <f t="shared" si="7"/>
        <v>3</v>
      </c>
      <c r="F32" s="21">
        <f t="shared" si="7"/>
        <v>81</v>
      </c>
      <c r="G32" s="21">
        <f t="shared" si="7"/>
        <v>621</v>
      </c>
      <c r="H32" s="21">
        <f t="shared" si="7"/>
        <v>62</v>
      </c>
      <c r="I32" s="21">
        <f t="shared" si="7"/>
        <v>287</v>
      </c>
      <c r="J32" s="21">
        <f t="shared" si="7"/>
        <v>404</v>
      </c>
      <c r="K32" s="21">
        <f t="shared" si="7"/>
        <v>605</v>
      </c>
      <c r="L32" s="21">
        <f t="shared" si="7"/>
        <v>196</v>
      </c>
      <c r="M32" s="21">
        <f t="shared" si="7"/>
        <v>16</v>
      </c>
      <c r="N32" s="21">
        <f t="shared" si="7"/>
        <v>0</v>
      </c>
      <c r="O32" s="18"/>
      <c r="P32" s="86">
        <f t="shared" si="4"/>
        <v>0</v>
      </c>
    </row>
    <row r="33" spans="1:16" ht="15.75" x14ac:dyDescent="0.25">
      <c r="A33" s="17" t="s">
        <v>54</v>
      </c>
      <c r="B33" s="21">
        <f t="shared" ref="B33:N33" si="8">B7+B20</f>
        <v>729</v>
      </c>
      <c r="C33" s="21">
        <f t="shared" si="8"/>
        <v>168</v>
      </c>
      <c r="D33" s="21">
        <f t="shared" si="8"/>
        <v>509</v>
      </c>
      <c r="E33" s="21">
        <f t="shared" si="8"/>
        <v>6</v>
      </c>
      <c r="F33" s="21">
        <f t="shared" si="8"/>
        <v>92</v>
      </c>
      <c r="G33" s="21">
        <f t="shared" si="8"/>
        <v>626</v>
      </c>
      <c r="H33" s="21">
        <f t="shared" si="8"/>
        <v>56</v>
      </c>
      <c r="I33" s="21">
        <f t="shared" si="8"/>
        <v>253</v>
      </c>
      <c r="J33" s="21">
        <f t="shared" si="8"/>
        <v>497</v>
      </c>
      <c r="K33" s="21">
        <f t="shared" si="8"/>
        <v>596</v>
      </c>
      <c r="L33" s="21">
        <f t="shared" si="8"/>
        <v>161</v>
      </c>
      <c r="M33" s="21">
        <f t="shared" si="8"/>
        <v>23</v>
      </c>
      <c r="N33" s="21">
        <f t="shared" si="8"/>
        <v>0</v>
      </c>
      <c r="O33" s="18"/>
      <c r="P33" s="86">
        <f t="shared" si="4"/>
        <v>0</v>
      </c>
    </row>
    <row r="34" spans="1:16" ht="15.75" x14ac:dyDescent="0.25">
      <c r="A34" s="17" t="s">
        <v>55</v>
      </c>
      <c r="B34" s="21">
        <f>B8+B21</f>
        <v>790</v>
      </c>
      <c r="C34" s="21">
        <f t="shared" ref="C34:N34" si="9">C8+C21</f>
        <v>168</v>
      </c>
      <c r="D34" s="21">
        <f t="shared" si="9"/>
        <v>529</v>
      </c>
      <c r="E34" s="21">
        <f t="shared" si="9"/>
        <v>2</v>
      </c>
      <c r="F34" s="21">
        <f t="shared" si="9"/>
        <v>105</v>
      </c>
      <c r="G34" s="21">
        <f t="shared" si="9"/>
        <v>734</v>
      </c>
      <c r="H34" s="21">
        <f t="shared" si="9"/>
        <v>75</v>
      </c>
      <c r="I34" s="21">
        <f t="shared" si="9"/>
        <v>256</v>
      </c>
      <c r="J34" s="21">
        <f t="shared" si="9"/>
        <v>476</v>
      </c>
      <c r="K34" s="21">
        <f t="shared" si="9"/>
        <v>607</v>
      </c>
      <c r="L34" s="21">
        <f t="shared" si="9"/>
        <v>231</v>
      </c>
      <c r="M34" s="21">
        <f t="shared" si="9"/>
        <v>25</v>
      </c>
      <c r="N34" s="21">
        <f t="shared" si="9"/>
        <v>0</v>
      </c>
      <c r="O34" s="18"/>
      <c r="P34" s="86">
        <f t="shared" si="4"/>
        <v>0</v>
      </c>
    </row>
    <row r="35" spans="1:16" ht="15.75" x14ac:dyDescent="0.25">
      <c r="A35" s="17" t="s">
        <v>48</v>
      </c>
      <c r="B35" s="21">
        <f>SUM(B28:B34)</f>
        <v>6696</v>
      </c>
      <c r="C35" s="21">
        <f t="shared" ref="C35:N35" si="10">C9+C22</f>
        <v>1179</v>
      </c>
      <c r="D35" s="21">
        <f t="shared" si="10"/>
        <v>3719</v>
      </c>
      <c r="E35" s="21">
        <f t="shared" si="10"/>
        <v>23</v>
      </c>
      <c r="F35" s="21">
        <f t="shared" si="10"/>
        <v>595</v>
      </c>
      <c r="G35" s="21">
        <f t="shared" si="10"/>
        <v>4100</v>
      </c>
      <c r="H35" s="21">
        <f t="shared" si="10"/>
        <v>390</v>
      </c>
      <c r="I35" s="21">
        <f t="shared" si="10"/>
        <v>1642</v>
      </c>
      <c r="J35" s="21">
        <f t="shared" si="10"/>
        <v>2751</v>
      </c>
      <c r="K35" s="21">
        <f t="shared" si="10"/>
        <v>3641</v>
      </c>
      <c r="L35" s="21">
        <f t="shared" si="10"/>
        <v>1047</v>
      </c>
      <c r="M35" s="21">
        <f t="shared" si="10"/>
        <v>146</v>
      </c>
      <c r="N35" s="21">
        <f t="shared" si="10"/>
        <v>0</v>
      </c>
      <c r="O35" s="18"/>
      <c r="P35" s="86"/>
    </row>
    <row r="36" spans="1:16" ht="15.75" x14ac:dyDescent="0.25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18"/>
      <c r="P36" s="22"/>
    </row>
    <row r="37" spans="1:16" x14ac:dyDescent="0.25">
      <c r="B37" s="86"/>
    </row>
    <row r="38" spans="1:16" x14ac:dyDescent="0.25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A14" sqref="A14:C14"/>
    </sheetView>
  </sheetViews>
  <sheetFormatPr baseColWidth="10" defaultColWidth="19" defaultRowHeight="15" x14ac:dyDescent="0.25"/>
  <sheetData>
    <row r="1" spans="1:3" ht="27" thickBot="1" x14ac:dyDescent="0.3">
      <c r="A1" s="89" t="s">
        <v>95</v>
      </c>
      <c r="B1" s="90" t="s">
        <v>96</v>
      </c>
      <c r="C1" s="91" t="s">
        <v>97</v>
      </c>
    </row>
    <row r="2" spans="1:3" ht="24" thickBot="1" x14ac:dyDescent="0.3">
      <c r="A2" s="92" t="s">
        <v>98</v>
      </c>
      <c r="B2" s="93">
        <v>1752</v>
      </c>
      <c r="C2" s="97"/>
    </row>
    <row r="3" spans="1:3" ht="24" thickBot="1" x14ac:dyDescent="0.3">
      <c r="A3" s="92" t="s">
        <v>99</v>
      </c>
      <c r="B3" s="93">
        <v>1518</v>
      </c>
      <c r="C3" s="97"/>
    </row>
    <row r="4" spans="1:3" ht="24" thickBot="1" x14ac:dyDescent="0.3">
      <c r="A4" s="92" t="s">
        <v>100</v>
      </c>
      <c r="B4" s="93">
        <v>1424</v>
      </c>
      <c r="C4" s="97"/>
    </row>
    <row r="5" spans="1:3" ht="24" thickBot="1" x14ac:dyDescent="0.3">
      <c r="A5" s="92" t="s">
        <v>101</v>
      </c>
      <c r="B5" s="93">
        <v>1500</v>
      </c>
      <c r="C5" s="97"/>
    </row>
    <row r="6" spans="1:3" ht="24" thickBot="1" x14ac:dyDescent="0.3">
      <c r="A6" s="92" t="s">
        <v>102</v>
      </c>
      <c r="B6" s="93">
        <v>1339</v>
      </c>
      <c r="C6" s="97"/>
    </row>
    <row r="7" spans="1:3" ht="24" thickBot="1" x14ac:dyDescent="0.3">
      <c r="A7" s="92" t="s">
        <v>103</v>
      </c>
      <c r="B7" s="93">
        <v>1547</v>
      </c>
      <c r="C7" s="97"/>
    </row>
    <row r="8" spans="1:3" ht="24" thickBot="1" x14ac:dyDescent="0.3">
      <c r="A8" s="92" t="s">
        <v>104</v>
      </c>
      <c r="B8" s="93">
        <v>1922</v>
      </c>
      <c r="C8" s="97"/>
    </row>
    <row r="9" spans="1:3" ht="24" thickBot="1" x14ac:dyDescent="0.3">
      <c r="A9" s="92" t="s">
        <v>105</v>
      </c>
      <c r="B9" s="93">
        <v>2039</v>
      </c>
      <c r="C9" s="97"/>
    </row>
    <row r="10" spans="1:3" ht="24" thickBot="1" x14ac:dyDescent="0.3">
      <c r="A10" s="92" t="s">
        <v>106</v>
      </c>
      <c r="B10" s="93">
        <v>1666</v>
      </c>
      <c r="C10" s="97"/>
    </row>
    <row r="11" spans="1:3" ht="24" thickBot="1" x14ac:dyDescent="0.3">
      <c r="A11" s="92" t="s">
        <v>107</v>
      </c>
      <c r="B11" s="93">
        <v>1648</v>
      </c>
      <c r="C11" s="97"/>
    </row>
    <row r="12" spans="1:3" ht="24" thickBot="1" x14ac:dyDescent="0.3">
      <c r="A12" s="92" t="s">
        <v>108</v>
      </c>
      <c r="B12" s="93">
        <v>1489</v>
      </c>
      <c r="C12" s="97"/>
    </row>
    <row r="13" spans="1:3" ht="24" thickBot="1" x14ac:dyDescent="0.3">
      <c r="A13" s="92" t="s">
        <v>109</v>
      </c>
      <c r="B13" s="93">
        <v>1810</v>
      </c>
      <c r="C13" s="97"/>
    </row>
    <row r="14" spans="1:3" ht="24" thickBot="1" x14ac:dyDescent="0.3">
      <c r="A14" s="94"/>
      <c r="B14" s="96"/>
      <c r="C14" s="9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"/>
  <sheetViews>
    <sheetView topLeftCell="I1" zoomScaleNormal="100" workbookViewId="0">
      <selection activeCell="Q6" sqref="Q6"/>
    </sheetView>
  </sheetViews>
  <sheetFormatPr baseColWidth="10" defaultColWidth="11.5703125" defaultRowHeight="15" x14ac:dyDescent="0.25"/>
  <sheetData>
    <row r="1" spans="1:16" ht="105" customHeight="1" thickTop="1" thickBot="1" x14ac:dyDescent="0.3">
      <c r="A1" s="23" t="s">
        <v>56</v>
      </c>
      <c r="B1" s="24" t="s">
        <v>35</v>
      </c>
      <c r="C1" s="24" t="s">
        <v>36</v>
      </c>
      <c r="D1" s="24" t="s">
        <v>37</v>
      </c>
      <c r="E1" s="24" t="s">
        <v>38</v>
      </c>
      <c r="F1" s="24" t="s">
        <v>39</v>
      </c>
      <c r="G1" s="24" t="s">
        <v>40</v>
      </c>
      <c r="H1" s="24" t="s">
        <v>41</v>
      </c>
      <c r="I1" s="24" t="s">
        <v>42</v>
      </c>
      <c r="J1" s="24" t="s">
        <v>43</v>
      </c>
      <c r="K1" s="24" t="s">
        <v>44</v>
      </c>
      <c r="L1" s="24" t="s">
        <v>45</v>
      </c>
      <c r="M1" s="24" t="s">
        <v>46</v>
      </c>
      <c r="N1" s="24" t="s">
        <v>47</v>
      </c>
      <c r="O1" s="24" t="s">
        <v>48</v>
      </c>
      <c r="P1" s="25" t="s">
        <v>57</v>
      </c>
    </row>
    <row r="2" spans="1:16" ht="15.75" thickTop="1" x14ac:dyDescent="0.25">
      <c r="A2" s="26" t="s">
        <v>58</v>
      </c>
      <c r="B2" s="27">
        <f>'[1]Ambos lados'!B11+'[2]Ambos lados'!B11+'[3]Ambos lados'!B11+'[4]Ambos lados'!B11+'[5]Ambos lados'!B11+'[6]Ambos lados'!B11+'[7]Ambos lados'!B11</f>
        <v>149</v>
      </c>
      <c r="C2" s="27">
        <f>'[1]Ambos lados'!C11+'[2]Ambos lados'!C11+'[3]Ambos lados'!C11+'[4]Ambos lados'!C11+'[5]Ambos lados'!C11+'[6]Ambos lados'!C11+'[7]Ambos lados'!C11</f>
        <v>35</v>
      </c>
      <c r="D2" s="27">
        <f>'[1]Ambos lados'!D11+'[2]Ambos lados'!D11+'[3]Ambos lados'!D11+'[4]Ambos lados'!D11+'[5]Ambos lados'!D11+'[6]Ambos lados'!D11+'[7]Ambos lados'!D11</f>
        <v>41</v>
      </c>
      <c r="E2" s="27">
        <f>'[1]Ambos lados'!E11+'[2]Ambos lados'!E11+'[3]Ambos lados'!E11+'[4]Ambos lados'!E11+'[5]Ambos lados'!E11+'[6]Ambos lados'!E11+'[7]Ambos lados'!E11</f>
        <v>0</v>
      </c>
      <c r="F2" s="27">
        <f>'[1]Ambos lados'!F11+'[2]Ambos lados'!F11+'[3]Ambos lados'!F11+'[4]Ambos lados'!F11+'[5]Ambos lados'!F11+'[6]Ambos lados'!F11+'[7]Ambos lados'!F11</f>
        <v>32</v>
      </c>
      <c r="G2" s="27">
        <f>'[1]Ambos lados'!G11+'[2]Ambos lados'!G11+'[3]Ambos lados'!G11+'[4]Ambos lados'!G11+'[5]Ambos lados'!G11+'[6]Ambos lados'!G11+'[7]Ambos lados'!G11</f>
        <v>215</v>
      </c>
      <c r="H2" s="27">
        <f>'[1]Ambos lados'!H11+'[2]Ambos lados'!H11+'[3]Ambos lados'!H11+'[4]Ambos lados'!H11+'[5]Ambos lados'!H11+'[6]Ambos lados'!H11+'[7]Ambos lados'!H11</f>
        <v>23</v>
      </c>
      <c r="I2" s="27">
        <f>'[1]Ambos lados'!I11+'[2]Ambos lados'!I11+'[3]Ambos lados'!I11+'[4]Ambos lados'!I11+'[5]Ambos lados'!I11+'[6]Ambos lados'!I11+'[7]Ambos lados'!I11</f>
        <v>65</v>
      </c>
      <c r="J2" s="27">
        <f>'[1]Ambos lados'!J11+'[2]Ambos lados'!J11+'[3]Ambos lados'!J11+'[4]Ambos lados'!J11+'[5]Ambos lados'!J11+'[6]Ambos lados'!J11+'[7]Ambos lados'!J11</f>
        <v>124</v>
      </c>
      <c r="K2" s="27">
        <f>'[1]Ambos lados'!K11+'[2]Ambos lados'!K11+'[3]Ambos lados'!K11+'[4]Ambos lados'!K11+'[5]Ambos lados'!K11+'[6]Ambos lados'!K11+'[7]Ambos lados'!K11</f>
        <v>128</v>
      </c>
      <c r="L2" s="27">
        <f>'[1]Ambos lados'!L11+'[2]Ambos lados'!L11+'[3]Ambos lados'!L11+'[4]Ambos lados'!L11+'[5]Ambos lados'!L11+'[6]Ambos lados'!L11+'[7]Ambos lados'!L11</f>
        <v>45</v>
      </c>
      <c r="M2" s="27">
        <f>'[1]Ambos lados'!M11+'[2]Ambos lados'!M11+'[3]Ambos lados'!M11+'[4]Ambos lados'!M11+'[5]Ambos lados'!M11+'[6]Ambos lados'!M11+'[7]Ambos lados'!M11</f>
        <v>3</v>
      </c>
      <c r="N2" s="27">
        <f>'[1]Ambos lados'!N11+'[2]Ambos lados'!N11+'[3]Ambos lados'!N11+'[4]Ambos lados'!N11+'[5]Ambos lados'!N11+'[6]Ambos lados'!N11+'[7]Ambos lados'!N11</f>
        <v>0</v>
      </c>
      <c r="O2" s="27">
        <f>('[1]Ambos lados'!O11+'[2]Ambos lados'!O11+'[3]Ambos lados'!O11+'[4]Ambos lados'!O11+'[5]Ambos lados'!O11+'[6]Ambos lados'!O11+'[7]Ambos lados'!O11)/7</f>
        <v>122.85714285714286</v>
      </c>
      <c r="P2" s="28">
        <f>O2/$O$26</f>
        <v>3.316749585406302E-2</v>
      </c>
    </row>
    <row r="3" spans="1:16" x14ac:dyDescent="0.25">
      <c r="A3" s="29" t="s">
        <v>59</v>
      </c>
      <c r="B3" s="27">
        <f>'[1]Ambos lados'!B12+'[2]Ambos lados'!B12+'[3]Ambos lados'!B12+'[4]Ambos lados'!B12+'[5]Ambos lados'!B12+'[6]Ambos lados'!B12+'[7]Ambos lados'!B12</f>
        <v>87</v>
      </c>
      <c r="C3" s="27">
        <f>'[1]Ambos lados'!C12+'[2]Ambos lados'!C12+'[3]Ambos lados'!C12+'[4]Ambos lados'!C12+'[5]Ambos lados'!C12+'[6]Ambos lados'!C12+'[7]Ambos lados'!C12</f>
        <v>16</v>
      </c>
      <c r="D3" s="27">
        <f>'[1]Ambos lados'!D12+'[2]Ambos lados'!D12+'[3]Ambos lados'!D12+'[4]Ambos lados'!D12+'[5]Ambos lados'!D12+'[6]Ambos lados'!D12+'[7]Ambos lados'!D12</f>
        <v>63</v>
      </c>
      <c r="E3" s="27">
        <f>'[1]Ambos lados'!E12+'[2]Ambos lados'!E12+'[3]Ambos lados'!E12+'[4]Ambos lados'!E12+'[5]Ambos lados'!E12+'[6]Ambos lados'!E12+'[7]Ambos lados'!E12</f>
        <v>0</v>
      </c>
      <c r="F3" s="27">
        <f>'[1]Ambos lados'!F12+'[2]Ambos lados'!F12+'[3]Ambos lados'!F12+'[4]Ambos lados'!F12+'[5]Ambos lados'!F12+'[6]Ambos lados'!F12+'[7]Ambos lados'!F12</f>
        <v>29</v>
      </c>
      <c r="G3" s="27">
        <f>'[1]Ambos lados'!G12+'[2]Ambos lados'!G12+'[3]Ambos lados'!G12+'[4]Ambos lados'!G12+'[5]Ambos lados'!G12+'[6]Ambos lados'!G12+'[7]Ambos lados'!G12</f>
        <v>326</v>
      </c>
      <c r="H3" s="27">
        <f>'[1]Ambos lados'!H12+'[2]Ambos lados'!H12+'[3]Ambos lados'!H12+'[4]Ambos lados'!H12+'[5]Ambos lados'!H12+'[6]Ambos lados'!H12+'[7]Ambos lados'!H12</f>
        <v>11</v>
      </c>
      <c r="I3" s="27">
        <f>'[1]Ambos lados'!I12+'[2]Ambos lados'!I12+'[3]Ambos lados'!I12+'[4]Ambos lados'!I12+'[5]Ambos lados'!I12+'[6]Ambos lados'!I12+'[7]Ambos lados'!I12</f>
        <v>66</v>
      </c>
      <c r="J3" s="27">
        <f>'[1]Ambos lados'!J12+'[2]Ambos lados'!J12+'[3]Ambos lados'!J12+'[4]Ambos lados'!J12+'[5]Ambos lados'!J12+'[6]Ambos lados'!J12+'[7]Ambos lados'!J12</f>
        <v>116</v>
      </c>
      <c r="K3" s="27">
        <f>'[1]Ambos lados'!K12+'[2]Ambos lados'!K12+'[3]Ambos lados'!K12+'[4]Ambos lados'!K12+'[5]Ambos lados'!K12+'[6]Ambos lados'!K12+'[7]Ambos lados'!K12</f>
        <v>126</v>
      </c>
      <c r="L3" s="27">
        <f>'[1]Ambos lados'!L12+'[2]Ambos lados'!L12+'[3]Ambos lados'!L12+'[4]Ambos lados'!L12+'[5]Ambos lados'!L12+'[6]Ambos lados'!L12+'[7]Ambos lados'!L12</f>
        <v>32</v>
      </c>
      <c r="M3" s="27">
        <f>'[1]Ambos lados'!M12+'[2]Ambos lados'!M12+'[3]Ambos lados'!M12+'[4]Ambos lados'!M12+'[5]Ambos lados'!M12+'[6]Ambos lados'!M12+'[7]Ambos lados'!M12</f>
        <v>0</v>
      </c>
      <c r="N3" s="27">
        <f>'[1]Ambos lados'!N12+'[2]Ambos lados'!N12+'[3]Ambos lados'!N12+'[4]Ambos lados'!N12+'[5]Ambos lados'!N12+'[6]Ambos lados'!N12+'[7]Ambos lados'!N12</f>
        <v>0</v>
      </c>
      <c r="O3" s="27">
        <f>('[1]Ambos lados'!O12+'[2]Ambos lados'!O12+'[3]Ambos lados'!O12+'[4]Ambos lados'!O12+'[5]Ambos lados'!O12+'[6]Ambos lados'!O12+'[7]Ambos lados'!O12)/7</f>
        <v>124.57142857142857</v>
      </c>
      <c r="P3" s="28">
        <f t="shared" ref="P3:P25" si="0">O3/$O$26</f>
        <v>3.3630298121794126E-2</v>
      </c>
    </row>
    <row r="4" spans="1:16" x14ac:dyDescent="0.25">
      <c r="A4" s="29" t="s">
        <v>60</v>
      </c>
      <c r="B4" s="27">
        <f>'[1]Ambos lados'!B13+'[2]Ambos lados'!B13+'[3]Ambos lados'!B13+'[4]Ambos lados'!B13+'[5]Ambos lados'!B13+'[6]Ambos lados'!B13+'[7]Ambos lados'!B13</f>
        <v>103</v>
      </c>
      <c r="C4" s="27">
        <f>'[1]Ambos lados'!C13+'[2]Ambos lados'!C13+'[3]Ambos lados'!C13+'[4]Ambos lados'!C13+'[5]Ambos lados'!C13+'[6]Ambos lados'!C13+'[7]Ambos lados'!C13</f>
        <v>11</v>
      </c>
      <c r="D4" s="27">
        <f>'[1]Ambos lados'!D13+'[2]Ambos lados'!D13+'[3]Ambos lados'!D13+'[4]Ambos lados'!D13+'[5]Ambos lados'!D13+'[6]Ambos lados'!D13+'[7]Ambos lados'!D13</f>
        <v>48</v>
      </c>
      <c r="E4" s="27">
        <f>'[1]Ambos lados'!E13+'[2]Ambos lados'!E13+'[3]Ambos lados'!E13+'[4]Ambos lados'!E13+'[5]Ambos lados'!E13+'[6]Ambos lados'!E13+'[7]Ambos lados'!E13</f>
        <v>1</v>
      </c>
      <c r="F4" s="27">
        <f>'[1]Ambos lados'!F13+'[2]Ambos lados'!F13+'[3]Ambos lados'!F13+'[4]Ambos lados'!F13+'[5]Ambos lados'!F13+'[6]Ambos lados'!F13+'[7]Ambos lados'!F13</f>
        <v>16</v>
      </c>
      <c r="G4" s="27">
        <f>'[1]Ambos lados'!G13+'[2]Ambos lados'!G13+'[3]Ambos lados'!G13+'[4]Ambos lados'!G13+'[5]Ambos lados'!G13+'[6]Ambos lados'!G13+'[7]Ambos lados'!G13</f>
        <v>346</v>
      </c>
      <c r="H4" s="27">
        <f>'[1]Ambos lados'!H13+'[2]Ambos lados'!H13+'[3]Ambos lados'!H13+'[4]Ambos lados'!H13+'[5]Ambos lados'!H13+'[6]Ambos lados'!H13+'[7]Ambos lados'!H13</f>
        <v>12</v>
      </c>
      <c r="I4" s="27">
        <f>'[1]Ambos lados'!I13+'[2]Ambos lados'!I13+'[3]Ambos lados'!I13+'[4]Ambos lados'!I13+'[5]Ambos lados'!I13+'[6]Ambos lados'!I13+'[7]Ambos lados'!I13</f>
        <v>55</v>
      </c>
      <c r="J4" s="27">
        <f>'[1]Ambos lados'!J13+'[2]Ambos lados'!J13+'[3]Ambos lados'!J13+'[4]Ambos lados'!J13+'[5]Ambos lados'!J13+'[6]Ambos lados'!J13+'[7]Ambos lados'!J13</f>
        <v>103</v>
      </c>
      <c r="K4" s="27">
        <f>'[1]Ambos lados'!K13+'[2]Ambos lados'!K13+'[3]Ambos lados'!K13+'[4]Ambos lados'!K13+'[5]Ambos lados'!K13+'[6]Ambos lados'!K13+'[7]Ambos lados'!K13</f>
        <v>71</v>
      </c>
      <c r="L4" s="27">
        <f>'[1]Ambos lados'!L13+'[2]Ambos lados'!L13+'[3]Ambos lados'!L13+'[4]Ambos lados'!L13+'[5]Ambos lados'!L13+'[6]Ambos lados'!L13+'[7]Ambos lados'!L13</f>
        <v>24</v>
      </c>
      <c r="M4" s="27">
        <f>'[1]Ambos lados'!M13+'[2]Ambos lados'!M13+'[3]Ambos lados'!M13+'[4]Ambos lados'!M13+'[5]Ambos lados'!M13+'[6]Ambos lados'!M13+'[7]Ambos lados'!M13</f>
        <v>0</v>
      </c>
      <c r="N4" s="27">
        <f>'[1]Ambos lados'!N13+'[2]Ambos lados'!N13+'[3]Ambos lados'!N13+'[4]Ambos lados'!N13+'[5]Ambos lados'!N13+'[6]Ambos lados'!N13+'[7]Ambos lados'!N13</f>
        <v>0</v>
      </c>
      <c r="O4" s="27">
        <f>('[1]Ambos lados'!O13+'[2]Ambos lados'!O13+'[3]Ambos lados'!O13+'[4]Ambos lados'!O13+'[5]Ambos lados'!O13+'[6]Ambos lados'!O13+'[7]Ambos lados'!O13)/7</f>
        <v>112.85714285714286</v>
      </c>
      <c r="P4" s="28">
        <f t="shared" si="0"/>
        <v>3.0467815958964865E-2</v>
      </c>
    </row>
    <row r="5" spans="1:16" x14ac:dyDescent="0.25">
      <c r="A5" s="29" t="s">
        <v>61</v>
      </c>
      <c r="B5" s="27">
        <f>'[1]Ambos lados'!B14+'[2]Ambos lados'!B14+'[3]Ambos lados'!B14+'[4]Ambos lados'!B14+'[5]Ambos lados'!B14+'[6]Ambos lados'!B14+'[7]Ambos lados'!B14</f>
        <v>110</v>
      </c>
      <c r="C5" s="27">
        <f>'[1]Ambos lados'!C14+'[2]Ambos lados'!C14+'[3]Ambos lados'!C14+'[4]Ambos lados'!C14+'[5]Ambos lados'!C14+'[6]Ambos lados'!C14+'[7]Ambos lados'!C14</f>
        <v>21</v>
      </c>
      <c r="D5" s="27">
        <f>'[1]Ambos lados'!D14+'[2]Ambos lados'!D14+'[3]Ambos lados'!D14+'[4]Ambos lados'!D14+'[5]Ambos lados'!D14+'[6]Ambos lados'!D14+'[7]Ambos lados'!D14</f>
        <v>39</v>
      </c>
      <c r="E5" s="27">
        <f>'[1]Ambos lados'!E14+'[2]Ambos lados'!E14+'[3]Ambos lados'!E14+'[4]Ambos lados'!E14+'[5]Ambos lados'!E14+'[6]Ambos lados'!E14+'[7]Ambos lados'!E14</f>
        <v>0</v>
      </c>
      <c r="F5" s="27">
        <f>'[1]Ambos lados'!F14+'[2]Ambos lados'!F14+'[3]Ambos lados'!F14+'[4]Ambos lados'!F14+'[5]Ambos lados'!F14+'[6]Ambos lados'!F14+'[7]Ambos lados'!F14</f>
        <v>60</v>
      </c>
      <c r="G5" s="27">
        <f>'[1]Ambos lados'!G14+'[2]Ambos lados'!G14+'[3]Ambos lados'!G14+'[4]Ambos lados'!G14+'[5]Ambos lados'!G14+'[6]Ambos lados'!G14+'[7]Ambos lados'!G14</f>
        <v>215</v>
      </c>
      <c r="H5" s="27">
        <f>'[1]Ambos lados'!H14+'[2]Ambos lados'!H14+'[3]Ambos lados'!H14+'[4]Ambos lados'!H14+'[5]Ambos lados'!H14+'[6]Ambos lados'!H14+'[7]Ambos lados'!H14</f>
        <v>7</v>
      </c>
      <c r="I5" s="27">
        <f>'[1]Ambos lados'!I14+'[2]Ambos lados'!I14+'[3]Ambos lados'!I14+'[4]Ambos lados'!I14+'[5]Ambos lados'!I14+'[6]Ambos lados'!I14+'[7]Ambos lados'!I14</f>
        <v>38</v>
      </c>
      <c r="J5" s="27">
        <f>'[1]Ambos lados'!J14+'[2]Ambos lados'!J14+'[3]Ambos lados'!J14+'[4]Ambos lados'!J14+'[5]Ambos lados'!J14+'[6]Ambos lados'!J14+'[7]Ambos lados'!J14</f>
        <v>88</v>
      </c>
      <c r="K5" s="27">
        <f>'[1]Ambos lados'!K14+'[2]Ambos lados'!K14+'[3]Ambos lados'!K14+'[4]Ambos lados'!K14+'[5]Ambos lados'!K14+'[6]Ambos lados'!K14+'[7]Ambos lados'!K14</f>
        <v>114</v>
      </c>
      <c r="L5" s="27">
        <f>'[1]Ambos lados'!L14+'[2]Ambos lados'!L14+'[3]Ambos lados'!L14+'[4]Ambos lados'!L14+'[5]Ambos lados'!L14+'[6]Ambos lados'!L14+'[7]Ambos lados'!L14</f>
        <v>29</v>
      </c>
      <c r="M5" s="27">
        <f>'[1]Ambos lados'!M14+'[2]Ambos lados'!M14+'[3]Ambos lados'!M14+'[4]Ambos lados'!M14+'[5]Ambos lados'!M14+'[6]Ambos lados'!M14+'[7]Ambos lados'!M14</f>
        <v>0</v>
      </c>
      <c r="N5" s="27">
        <f>'[1]Ambos lados'!N14+'[2]Ambos lados'!N14+'[3]Ambos lados'!N14+'[4]Ambos lados'!N14+'[5]Ambos lados'!N14+'[6]Ambos lados'!N14+'[7]Ambos lados'!N14</f>
        <v>0</v>
      </c>
      <c r="O5" s="27">
        <f>('[1]Ambos lados'!O14+'[2]Ambos lados'!O14+'[3]Ambos lados'!O14+'[4]Ambos lados'!O14+'[5]Ambos lados'!O14+'[6]Ambos lados'!O14+'[7]Ambos lados'!O14)/7</f>
        <v>103</v>
      </c>
      <c r="P5" s="28">
        <f t="shared" si="0"/>
        <v>2.780670291951097E-2</v>
      </c>
    </row>
    <row r="6" spans="1:16" x14ac:dyDescent="0.25">
      <c r="A6" s="29" t="s">
        <v>62</v>
      </c>
      <c r="B6" s="27">
        <f>'[1]Ambos lados'!B15+'[2]Ambos lados'!B15+'[3]Ambos lados'!B15+'[4]Ambos lados'!B15+'[5]Ambos lados'!B15+'[6]Ambos lados'!B15+'[7]Ambos lados'!B15</f>
        <v>90</v>
      </c>
      <c r="C6" s="27">
        <f>'[1]Ambos lados'!C15+'[2]Ambos lados'!C15+'[3]Ambos lados'!C15+'[4]Ambos lados'!C15+'[5]Ambos lados'!C15+'[6]Ambos lados'!C15+'[7]Ambos lados'!C15</f>
        <v>21</v>
      </c>
      <c r="D6" s="27">
        <f>'[1]Ambos lados'!D15+'[2]Ambos lados'!D15+'[3]Ambos lados'!D15+'[4]Ambos lados'!D15+'[5]Ambos lados'!D15+'[6]Ambos lados'!D15+'[7]Ambos lados'!D15</f>
        <v>47</v>
      </c>
      <c r="E6" s="27">
        <f>'[1]Ambos lados'!E15+'[2]Ambos lados'!E15+'[3]Ambos lados'!E15+'[4]Ambos lados'!E15+'[5]Ambos lados'!E15+'[6]Ambos lados'!E15+'[7]Ambos lados'!E15</f>
        <v>0</v>
      </c>
      <c r="F6" s="27">
        <f>'[1]Ambos lados'!F15+'[2]Ambos lados'!F15+'[3]Ambos lados'!F15+'[4]Ambos lados'!F15+'[5]Ambos lados'!F15+'[6]Ambos lados'!F15+'[7]Ambos lados'!F15</f>
        <v>10</v>
      </c>
      <c r="G6" s="27">
        <f>'[1]Ambos lados'!G15+'[2]Ambos lados'!G15+'[3]Ambos lados'!G15+'[4]Ambos lados'!G15+'[5]Ambos lados'!G15+'[6]Ambos lados'!G15+'[7]Ambos lados'!G15</f>
        <v>149</v>
      </c>
      <c r="H6" s="27">
        <f>'[1]Ambos lados'!H15+'[2]Ambos lados'!H15+'[3]Ambos lados'!H15+'[4]Ambos lados'!H15+'[5]Ambos lados'!H15+'[6]Ambos lados'!H15+'[7]Ambos lados'!H15</f>
        <v>9</v>
      </c>
      <c r="I6" s="27">
        <f>'[1]Ambos lados'!I15+'[2]Ambos lados'!I15+'[3]Ambos lados'!I15+'[4]Ambos lados'!I15+'[5]Ambos lados'!I15+'[6]Ambos lados'!I15+'[7]Ambos lados'!I15</f>
        <v>50</v>
      </c>
      <c r="J6" s="27">
        <f>'[1]Ambos lados'!J15+'[2]Ambos lados'!J15+'[3]Ambos lados'!J15+'[4]Ambos lados'!J15+'[5]Ambos lados'!J15+'[6]Ambos lados'!J15+'[7]Ambos lados'!J15</f>
        <v>94</v>
      </c>
      <c r="K6" s="27">
        <f>'[1]Ambos lados'!K15+'[2]Ambos lados'!K15+'[3]Ambos lados'!K15+'[4]Ambos lados'!K15+'[5]Ambos lados'!K15+'[6]Ambos lados'!K15+'[7]Ambos lados'!K15</f>
        <v>124</v>
      </c>
      <c r="L6" s="27">
        <f>'[1]Ambos lados'!L15+'[2]Ambos lados'!L15+'[3]Ambos lados'!L15+'[4]Ambos lados'!L15+'[5]Ambos lados'!L15+'[6]Ambos lados'!L15+'[7]Ambos lados'!L15</f>
        <v>29</v>
      </c>
      <c r="M6" s="27">
        <f>'[1]Ambos lados'!M15+'[2]Ambos lados'!M15+'[3]Ambos lados'!M15+'[4]Ambos lados'!M15+'[5]Ambos lados'!M15+'[6]Ambos lados'!M15+'[7]Ambos lados'!M15</f>
        <v>1</v>
      </c>
      <c r="N6" s="27">
        <f>'[1]Ambos lados'!N15+'[2]Ambos lados'!N15+'[3]Ambos lados'!N15+'[4]Ambos lados'!N15+'[5]Ambos lados'!N15+'[6]Ambos lados'!N15+'[7]Ambos lados'!N15</f>
        <v>0</v>
      </c>
      <c r="O6" s="27">
        <f>('[1]Ambos lados'!O15+'[2]Ambos lados'!O15+'[3]Ambos lados'!O15+'[4]Ambos lados'!O15+'[5]Ambos lados'!O15+'[6]Ambos lados'!O15+'[7]Ambos lados'!O15)/7</f>
        <v>89.142857142857139</v>
      </c>
      <c r="P6" s="28">
        <f t="shared" si="0"/>
        <v>2.4065717922017817E-2</v>
      </c>
    </row>
    <row r="7" spans="1:16" x14ac:dyDescent="0.25">
      <c r="A7" s="29" t="s">
        <v>63</v>
      </c>
      <c r="B7" s="27">
        <f>'[1]Ambos lados'!B16+'[2]Ambos lados'!B16+'[3]Ambos lados'!B16+'[4]Ambos lados'!B16+'[5]Ambos lados'!B16+'[6]Ambos lados'!B16+'[7]Ambos lados'!B16</f>
        <v>155</v>
      </c>
      <c r="C7" s="27">
        <f>'[1]Ambos lados'!C16+'[2]Ambos lados'!C16+'[3]Ambos lados'!C16+'[4]Ambos lados'!C16+'[5]Ambos lados'!C16+'[6]Ambos lados'!C16+'[7]Ambos lados'!C16</f>
        <v>31</v>
      </c>
      <c r="D7" s="27">
        <f>'[1]Ambos lados'!D16+'[2]Ambos lados'!D16+'[3]Ambos lados'!D16+'[4]Ambos lados'!D16+'[5]Ambos lados'!D16+'[6]Ambos lados'!D16+'[7]Ambos lados'!D16</f>
        <v>102</v>
      </c>
      <c r="E7" s="27">
        <f>'[1]Ambos lados'!E16+'[2]Ambos lados'!E16+'[3]Ambos lados'!E16+'[4]Ambos lados'!E16+'[5]Ambos lados'!E16+'[6]Ambos lados'!E16+'[7]Ambos lados'!E16</f>
        <v>0</v>
      </c>
      <c r="F7" s="27">
        <f>'[1]Ambos lados'!F16+'[2]Ambos lados'!F16+'[3]Ambos lados'!F16+'[4]Ambos lados'!F16+'[5]Ambos lados'!F16+'[6]Ambos lados'!F16+'[7]Ambos lados'!F16</f>
        <v>22</v>
      </c>
      <c r="G7" s="27">
        <f>'[1]Ambos lados'!G16+'[2]Ambos lados'!G16+'[3]Ambos lados'!G16+'[4]Ambos lados'!G16+'[5]Ambos lados'!G16+'[6]Ambos lados'!G16+'[7]Ambos lados'!G16</f>
        <v>137</v>
      </c>
      <c r="H7" s="27">
        <f>'[1]Ambos lados'!H16+'[2]Ambos lados'!H16+'[3]Ambos lados'!H16+'[4]Ambos lados'!H16+'[5]Ambos lados'!H16+'[6]Ambos lados'!H16+'[7]Ambos lados'!H16</f>
        <v>29</v>
      </c>
      <c r="I7" s="27">
        <f>'[1]Ambos lados'!I16+'[2]Ambos lados'!I16+'[3]Ambos lados'!I16+'[4]Ambos lados'!I16+'[5]Ambos lados'!I16+'[6]Ambos lados'!I16+'[7]Ambos lados'!I16</f>
        <v>81</v>
      </c>
      <c r="J7" s="27">
        <f>'[1]Ambos lados'!J16+'[2]Ambos lados'!J16+'[3]Ambos lados'!J16+'[4]Ambos lados'!J16+'[5]Ambos lados'!J16+'[6]Ambos lados'!J16+'[7]Ambos lados'!J16</f>
        <v>100</v>
      </c>
      <c r="K7" s="27">
        <f>'[1]Ambos lados'!K16+'[2]Ambos lados'!K16+'[3]Ambos lados'!K16+'[4]Ambos lados'!K16+'[5]Ambos lados'!K16+'[6]Ambos lados'!K16+'[7]Ambos lados'!K16</f>
        <v>161</v>
      </c>
      <c r="L7" s="27">
        <f>'[1]Ambos lados'!L16+'[2]Ambos lados'!L16+'[3]Ambos lados'!L16+'[4]Ambos lados'!L16+'[5]Ambos lados'!L16+'[6]Ambos lados'!L16+'[7]Ambos lados'!L16</f>
        <v>74</v>
      </c>
      <c r="M7" s="27">
        <f>'[1]Ambos lados'!M16+'[2]Ambos lados'!M16+'[3]Ambos lados'!M16+'[4]Ambos lados'!M16+'[5]Ambos lados'!M16+'[6]Ambos lados'!M16+'[7]Ambos lados'!M16</f>
        <v>9</v>
      </c>
      <c r="N7" s="27">
        <f>'[1]Ambos lados'!N16+'[2]Ambos lados'!N16+'[3]Ambos lados'!N16+'[4]Ambos lados'!N16+'[5]Ambos lados'!N16+'[6]Ambos lados'!N16+'[7]Ambos lados'!N16</f>
        <v>0</v>
      </c>
      <c r="O7" s="27">
        <f>('[1]Ambos lados'!O16+'[2]Ambos lados'!O16+'[3]Ambos lados'!O16+'[4]Ambos lados'!O16+'[5]Ambos lados'!O16+'[6]Ambos lados'!O16+'[7]Ambos lados'!O16)/7</f>
        <v>128.71428571428572</v>
      </c>
      <c r="P7" s="28">
        <f t="shared" si="0"/>
        <v>3.4748736935477649E-2</v>
      </c>
    </row>
    <row r="8" spans="1:16" x14ac:dyDescent="0.25">
      <c r="A8" s="29" t="s">
        <v>64</v>
      </c>
      <c r="B8" s="27">
        <f>'[1]Ambos lados'!B17+'[2]Ambos lados'!B17+'[3]Ambos lados'!B17+'[4]Ambos lados'!B17+'[5]Ambos lados'!B17+'[6]Ambos lados'!B17+'[7]Ambos lados'!B17</f>
        <v>208</v>
      </c>
      <c r="C8" s="27">
        <f>'[1]Ambos lados'!C17+'[2]Ambos lados'!C17+'[3]Ambos lados'!C17+'[4]Ambos lados'!C17+'[5]Ambos lados'!C17+'[6]Ambos lados'!C17+'[7]Ambos lados'!C17</f>
        <v>39</v>
      </c>
      <c r="D8" s="27">
        <f>'[1]Ambos lados'!D17+'[2]Ambos lados'!D17+'[3]Ambos lados'!D17+'[4]Ambos lados'!D17+'[5]Ambos lados'!D17+'[6]Ambos lados'!D17+'[7]Ambos lados'!D17</f>
        <v>170</v>
      </c>
      <c r="E8" s="27">
        <f>'[1]Ambos lados'!E17+'[2]Ambos lados'!E17+'[3]Ambos lados'!E17+'[4]Ambos lados'!E17+'[5]Ambos lados'!E17+'[6]Ambos lados'!E17+'[7]Ambos lados'!E17</f>
        <v>1</v>
      </c>
      <c r="F8" s="27">
        <f>'[1]Ambos lados'!F17+'[2]Ambos lados'!F17+'[3]Ambos lados'!F17+'[4]Ambos lados'!F17+'[5]Ambos lados'!F17+'[6]Ambos lados'!F17+'[7]Ambos lados'!F17</f>
        <v>14</v>
      </c>
      <c r="G8" s="27">
        <f>'[1]Ambos lados'!G17+'[2]Ambos lados'!G17+'[3]Ambos lados'!G17+'[4]Ambos lados'!G17+'[5]Ambos lados'!G17+'[6]Ambos lados'!G17+'[7]Ambos lados'!G17</f>
        <v>91</v>
      </c>
      <c r="H8" s="27">
        <f>'[1]Ambos lados'!H17+'[2]Ambos lados'!H17+'[3]Ambos lados'!H17+'[4]Ambos lados'!H17+'[5]Ambos lados'!H17+'[6]Ambos lados'!H17+'[7]Ambos lados'!H17</f>
        <v>8</v>
      </c>
      <c r="I8" s="27">
        <f>'[1]Ambos lados'!I17+'[2]Ambos lados'!I17+'[3]Ambos lados'!I17+'[4]Ambos lados'!I17+'[5]Ambos lados'!I17+'[6]Ambos lados'!I17+'[7]Ambos lados'!I17</f>
        <v>44</v>
      </c>
      <c r="J8" s="27">
        <f>'[1]Ambos lados'!J17+'[2]Ambos lados'!J17+'[3]Ambos lados'!J17+'[4]Ambos lados'!J17+'[5]Ambos lados'!J17+'[6]Ambos lados'!J17+'[7]Ambos lados'!J17</f>
        <v>86</v>
      </c>
      <c r="K8" s="27">
        <f>'[1]Ambos lados'!K17+'[2]Ambos lados'!K17+'[3]Ambos lados'!K17+'[4]Ambos lados'!K17+'[5]Ambos lados'!K17+'[6]Ambos lados'!K17+'[7]Ambos lados'!K17</f>
        <v>173</v>
      </c>
      <c r="L8" s="27">
        <f>'[1]Ambos lados'!L17+'[2]Ambos lados'!L17+'[3]Ambos lados'!L17+'[4]Ambos lados'!L17+'[5]Ambos lados'!L17+'[6]Ambos lados'!L17+'[7]Ambos lados'!L17</f>
        <v>33</v>
      </c>
      <c r="M8" s="27">
        <f>'[1]Ambos lados'!M17+'[2]Ambos lados'!M17+'[3]Ambos lados'!M17+'[4]Ambos lados'!M17+'[5]Ambos lados'!M17+'[6]Ambos lados'!M17+'[7]Ambos lados'!M17</f>
        <v>10</v>
      </c>
      <c r="N8" s="27">
        <f>'[1]Ambos lados'!N17+'[2]Ambos lados'!N17+'[3]Ambos lados'!N17+'[4]Ambos lados'!N17+'[5]Ambos lados'!N17+'[6]Ambos lados'!N17+'[7]Ambos lados'!N17</f>
        <v>0</v>
      </c>
      <c r="O8" s="27">
        <f>('[1]Ambos lados'!O17+'[2]Ambos lados'!O17+'[3]Ambos lados'!O17+'[4]Ambos lados'!O17+'[5]Ambos lados'!O17+'[6]Ambos lados'!O17+'[7]Ambos lados'!O17)/7</f>
        <v>125.28571428571429</v>
      </c>
      <c r="P8" s="28">
        <f t="shared" si="0"/>
        <v>3.3823132400015429E-2</v>
      </c>
    </row>
    <row r="9" spans="1:16" x14ac:dyDescent="0.25">
      <c r="A9" s="29" t="s">
        <v>65</v>
      </c>
      <c r="B9" s="27">
        <f>'[1]Ambos lados'!B18+'[2]Ambos lados'!B18+'[3]Ambos lados'!B18+'[4]Ambos lados'!B18+'[5]Ambos lados'!B18+'[6]Ambos lados'!B18+'[7]Ambos lados'!B18</f>
        <v>271</v>
      </c>
      <c r="C9" s="27">
        <f>'[1]Ambos lados'!C18+'[2]Ambos lados'!C18+'[3]Ambos lados'!C18+'[4]Ambos lados'!C18+'[5]Ambos lados'!C18+'[6]Ambos lados'!C18+'[7]Ambos lados'!C18</f>
        <v>52</v>
      </c>
      <c r="D9" s="27">
        <f>'[1]Ambos lados'!D18+'[2]Ambos lados'!D18+'[3]Ambos lados'!D18+'[4]Ambos lados'!D18+'[5]Ambos lados'!D18+'[6]Ambos lados'!D18+'[7]Ambos lados'!D18</f>
        <v>151</v>
      </c>
      <c r="E9" s="27">
        <f>'[1]Ambos lados'!E18+'[2]Ambos lados'!E18+'[3]Ambos lados'!E18+'[4]Ambos lados'!E18+'[5]Ambos lados'!E18+'[6]Ambos lados'!E18+'[7]Ambos lados'!E18</f>
        <v>2</v>
      </c>
      <c r="F9" s="27">
        <f>'[1]Ambos lados'!F18+'[2]Ambos lados'!F18+'[3]Ambos lados'!F18+'[4]Ambos lados'!F18+'[5]Ambos lados'!F18+'[6]Ambos lados'!F18+'[7]Ambos lados'!F18</f>
        <v>17</v>
      </c>
      <c r="G9" s="27">
        <f>'[1]Ambos lados'!G18+'[2]Ambos lados'!G18+'[3]Ambos lados'!G18+'[4]Ambos lados'!G18+'[5]Ambos lados'!G18+'[6]Ambos lados'!G18+'[7]Ambos lados'!G18</f>
        <v>59</v>
      </c>
      <c r="H9" s="27">
        <f>'[1]Ambos lados'!H18+'[2]Ambos lados'!H18+'[3]Ambos lados'!H18+'[4]Ambos lados'!H18+'[5]Ambos lados'!H18+'[6]Ambos lados'!H18+'[7]Ambos lados'!H18</f>
        <v>14</v>
      </c>
      <c r="I9" s="27">
        <f>'[1]Ambos lados'!I18+'[2]Ambos lados'!I18+'[3]Ambos lados'!I18+'[4]Ambos lados'!I18+'[5]Ambos lados'!I18+'[6]Ambos lados'!I18+'[7]Ambos lados'!I18</f>
        <v>46</v>
      </c>
      <c r="J9" s="27">
        <f>'[1]Ambos lados'!J18+'[2]Ambos lados'!J18+'[3]Ambos lados'!J18+'[4]Ambos lados'!J18+'[5]Ambos lados'!J18+'[6]Ambos lados'!J18+'[7]Ambos lados'!J18</f>
        <v>88</v>
      </c>
      <c r="K9" s="27">
        <f>'[1]Ambos lados'!K18+'[2]Ambos lados'!K18+'[3]Ambos lados'!K18+'[4]Ambos lados'!K18+'[5]Ambos lados'!K18+'[6]Ambos lados'!K18+'[7]Ambos lados'!K18</f>
        <v>158</v>
      </c>
      <c r="L9" s="27">
        <f>'[1]Ambos lados'!L18+'[2]Ambos lados'!L18+'[3]Ambos lados'!L18+'[4]Ambos lados'!L18+'[5]Ambos lados'!L18+'[6]Ambos lados'!L18+'[7]Ambos lados'!L18</f>
        <v>17</v>
      </c>
      <c r="M9" s="27">
        <f>'[1]Ambos lados'!M18+'[2]Ambos lados'!M18+'[3]Ambos lados'!M18+'[4]Ambos lados'!M18+'[5]Ambos lados'!M18+'[6]Ambos lados'!M18+'[7]Ambos lados'!M18</f>
        <v>3</v>
      </c>
      <c r="N9" s="27">
        <f>'[1]Ambos lados'!N18+'[2]Ambos lados'!N18+'[3]Ambos lados'!N18+'[4]Ambos lados'!N18+'[5]Ambos lados'!N18+'[6]Ambos lados'!N18+'[7]Ambos lados'!N18</f>
        <v>0</v>
      </c>
      <c r="O9" s="27">
        <f>('[1]Ambos lados'!O18+'[2]Ambos lados'!O18+'[3]Ambos lados'!O18+'[4]Ambos lados'!O18+'[5]Ambos lados'!O18+'[6]Ambos lados'!O18+'[7]Ambos lados'!O18)/7</f>
        <v>125.42857142857143</v>
      </c>
      <c r="P9" s="28">
        <f t="shared" si="0"/>
        <v>3.3861699255659683E-2</v>
      </c>
    </row>
    <row r="10" spans="1:16" x14ac:dyDescent="0.25">
      <c r="A10" s="29" t="s">
        <v>66</v>
      </c>
      <c r="B10" s="27">
        <f>'[1]Ambos lados'!B19+'[2]Ambos lados'!B19+'[3]Ambos lados'!B19+'[4]Ambos lados'!B19+'[5]Ambos lados'!B19+'[6]Ambos lados'!B19+'[7]Ambos lados'!B19</f>
        <v>402</v>
      </c>
      <c r="C10" s="27">
        <f>'[1]Ambos lados'!C19+'[2]Ambos lados'!C19+'[3]Ambos lados'!C19+'[4]Ambos lados'!C19+'[5]Ambos lados'!C19+'[6]Ambos lados'!C19+'[7]Ambos lados'!C19</f>
        <v>78</v>
      </c>
      <c r="D10" s="27">
        <f>'[1]Ambos lados'!D19+'[2]Ambos lados'!D19+'[3]Ambos lados'!D19+'[4]Ambos lados'!D19+'[5]Ambos lados'!D19+'[6]Ambos lados'!D19+'[7]Ambos lados'!D19</f>
        <v>180</v>
      </c>
      <c r="E10" s="27">
        <f>'[1]Ambos lados'!E19+'[2]Ambos lados'!E19+'[3]Ambos lados'!E19+'[4]Ambos lados'!E19+'[5]Ambos lados'!E19+'[6]Ambos lados'!E19+'[7]Ambos lados'!E19</f>
        <v>2</v>
      </c>
      <c r="F10" s="27">
        <f>'[1]Ambos lados'!F19+'[2]Ambos lados'!F19+'[3]Ambos lados'!F19+'[4]Ambos lados'!F19+'[5]Ambos lados'!F19+'[6]Ambos lados'!F19+'[7]Ambos lados'!F19</f>
        <v>16</v>
      </c>
      <c r="G10" s="27">
        <f>'[1]Ambos lados'!G19+'[2]Ambos lados'!G19+'[3]Ambos lados'!G19+'[4]Ambos lados'!G19+'[5]Ambos lados'!G19+'[6]Ambos lados'!G19+'[7]Ambos lados'!G19</f>
        <v>78</v>
      </c>
      <c r="H10" s="27">
        <f>'[1]Ambos lados'!H19+'[2]Ambos lados'!H19+'[3]Ambos lados'!H19+'[4]Ambos lados'!H19+'[5]Ambos lados'!H19+'[6]Ambos lados'!H19+'[7]Ambos lados'!H19</f>
        <v>14</v>
      </c>
      <c r="I10" s="27">
        <f>'[1]Ambos lados'!I19+'[2]Ambos lados'!I19+'[3]Ambos lados'!I19+'[4]Ambos lados'!I19+'[5]Ambos lados'!I19+'[6]Ambos lados'!I19+'[7]Ambos lados'!I19</f>
        <v>39</v>
      </c>
      <c r="J10" s="27">
        <f>'[1]Ambos lados'!J19+'[2]Ambos lados'!J19+'[3]Ambos lados'!J19+'[4]Ambos lados'!J19+'[5]Ambos lados'!J19+'[6]Ambos lados'!J19+'[7]Ambos lados'!J19</f>
        <v>78</v>
      </c>
      <c r="K10" s="27">
        <f>'[1]Ambos lados'!K19+'[2]Ambos lados'!K19+'[3]Ambos lados'!K19+'[4]Ambos lados'!K19+'[5]Ambos lados'!K19+'[6]Ambos lados'!K19+'[7]Ambos lados'!K19</f>
        <v>119</v>
      </c>
      <c r="L10" s="27">
        <f>'[1]Ambos lados'!L19+'[2]Ambos lados'!L19+'[3]Ambos lados'!L19+'[4]Ambos lados'!L19+'[5]Ambos lados'!L19+'[6]Ambos lados'!L19+'[7]Ambos lados'!L19</f>
        <v>24</v>
      </c>
      <c r="M10" s="27">
        <f>'[1]Ambos lados'!M19+'[2]Ambos lados'!M19+'[3]Ambos lados'!M19+'[4]Ambos lados'!M19+'[5]Ambos lados'!M19+'[6]Ambos lados'!M19+'[7]Ambos lados'!M19</f>
        <v>16</v>
      </c>
      <c r="N10" s="27">
        <f>'[1]Ambos lados'!N19+'[2]Ambos lados'!N19+'[3]Ambos lados'!N19+'[4]Ambos lados'!N19+'[5]Ambos lados'!N19+'[6]Ambos lados'!N19+'[7]Ambos lados'!N19</f>
        <v>0</v>
      </c>
      <c r="O10" s="27">
        <f>('[1]Ambos lados'!O19+'[2]Ambos lados'!O19+'[3]Ambos lados'!O19+'[4]Ambos lados'!O19+'[5]Ambos lados'!O19+'[6]Ambos lados'!O19+'[7]Ambos lados'!O19)/7</f>
        <v>149.42857142857142</v>
      </c>
      <c r="P10" s="28">
        <f t="shared" si="0"/>
        <v>4.0340931003895249E-2</v>
      </c>
    </row>
    <row r="11" spans="1:16" x14ac:dyDescent="0.25">
      <c r="A11" s="29" t="s">
        <v>67</v>
      </c>
      <c r="B11" s="27">
        <f>'[1]Ambos lados'!B20+'[2]Ambos lados'!B20+'[3]Ambos lados'!B20+'[4]Ambos lados'!B20+'[5]Ambos lados'!B20+'[6]Ambos lados'!B20+'[7]Ambos lados'!B20</f>
        <v>304</v>
      </c>
      <c r="C11" s="27">
        <f>'[1]Ambos lados'!C20+'[2]Ambos lados'!C20+'[3]Ambos lados'!C20+'[4]Ambos lados'!C20+'[5]Ambos lados'!C20+'[6]Ambos lados'!C20+'[7]Ambos lados'!C20</f>
        <v>65</v>
      </c>
      <c r="D11" s="27">
        <f>'[1]Ambos lados'!D20+'[2]Ambos lados'!D20+'[3]Ambos lados'!D20+'[4]Ambos lados'!D20+'[5]Ambos lados'!D20+'[6]Ambos lados'!D20+'[7]Ambos lados'!D20</f>
        <v>166</v>
      </c>
      <c r="E11" s="27">
        <f>'[1]Ambos lados'!E20+'[2]Ambos lados'!E20+'[3]Ambos lados'!E20+'[4]Ambos lados'!E20+'[5]Ambos lados'!E20+'[6]Ambos lados'!E20+'[7]Ambos lados'!E20</f>
        <v>1</v>
      </c>
      <c r="F11" s="27">
        <f>'[1]Ambos lados'!F20+'[2]Ambos lados'!F20+'[3]Ambos lados'!F20+'[4]Ambos lados'!F20+'[5]Ambos lados'!F20+'[6]Ambos lados'!F20+'[7]Ambos lados'!F20</f>
        <v>18</v>
      </c>
      <c r="G11" s="27">
        <f>'[1]Ambos lados'!G20+'[2]Ambos lados'!G20+'[3]Ambos lados'!G20+'[4]Ambos lados'!G20+'[5]Ambos lados'!G20+'[6]Ambos lados'!G20+'[7]Ambos lados'!G20</f>
        <v>121</v>
      </c>
      <c r="H11" s="27">
        <f>'[1]Ambos lados'!H20+'[2]Ambos lados'!H20+'[3]Ambos lados'!H20+'[4]Ambos lados'!H20+'[5]Ambos lados'!H20+'[6]Ambos lados'!H20+'[7]Ambos lados'!H20</f>
        <v>13</v>
      </c>
      <c r="I11" s="27">
        <f>'[1]Ambos lados'!I20+'[2]Ambos lados'!I20+'[3]Ambos lados'!I20+'[4]Ambos lados'!I20+'[5]Ambos lados'!I20+'[6]Ambos lados'!I20+'[7]Ambos lados'!I20</f>
        <v>46</v>
      </c>
      <c r="J11" s="27">
        <f>'[1]Ambos lados'!J20+'[2]Ambos lados'!J20+'[3]Ambos lados'!J20+'[4]Ambos lados'!J20+'[5]Ambos lados'!J20+'[6]Ambos lados'!J20+'[7]Ambos lados'!J20</f>
        <v>96</v>
      </c>
      <c r="K11" s="27">
        <f>'[1]Ambos lados'!K20+'[2]Ambos lados'!K20+'[3]Ambos lados'!K20+'[4]Ambos lados'!K20+'[5]Ambos lados'!K20+'[6]Ambos lados'!K20+'[7]Ambos lados'!K20</f>
        <v>118</v>
      </c>
      <c r="L11" s="27">
        <f>'[1]Ambos lados'!L20+'[2]Ambos lados'!L20+'[3]Ambos lados'!L20+'[4]Ambos lados'!L20+'[5]Ambos lados'!L20+'[6]Ambos lados'!L20+'[7]Ambos lados'!L20</f>
        <v>35</v>
      </c>
      <c r="M11" s="27">
        <f>'[1]Ambos lados'!M20+'[2]Ambos lados'!M20+'[3]Ambos lados'!M20+'[4]Ambos lados'!M20+'[5]Ambos lados'!M20+'[6]Ambos lados'!M20+'[7]Ambos lados'!M20</f>
        <v>6</v>
      </c>
      <c r="N11" s="27">
        <f>'[1]Ambos lados'!N20+'[2]Ambos lados'!N20+'[3]Ambos lados'!N20+'[4]Ambos lados'!N20+'[5]Ambos lados'!N20+'[6]Ambos lados'!N20+'[7]Ambos lados'!N20</f>
        <v>0</v>
      </c>
      <c r="O11" s="27">
        <f>('[1]Ambos lados'!O20+'[2]Ambos lados'!O20+'[3]Ambos lados'!O20+'[4]Ambos lados'!O20+'[5]Ambos lados'!O20+'[6]Ambos lados'!O20+'[7]Ambos lados'!O20)/7</f>
        <v>141.28571428571428</v>
      </c>
      <c r="P11" s="28">
        <f t="shared" si="0"/>
        <v>3.8142620232172464E-2</v>
      </c>
    </row>
    <row r="12" spans="1:16" x14ac:dyDescent="0.25">
      <c r="A12" s="29" t="s">
        <v>68</v>
      </c>
      <c r="B12" s="27">
        <f>'[1]Ambos lados'!B21+'[2]Ambos lados'!B21+'[3]Ambos lados'!B21+'[4]Ambos lados'!B21+'[5]Ambos lados'!B21+'[6]Ambos lados'!B21+'[7]Ambos lados'!B21</f>
        <v>322</v>
      </c>
      <c r="C12" s="27">
        <f>'[1]Ambos lados'!C21+'[2]Ambos lados'!C21+'[3]Ambos lados'!C21+'[4]Ambos lados'!C21+'[5]Ambos lados'!C21+'[6]Ambos lados'!C21+'[7]Ambos lados'!C21</f>
        <v>75</v>
      </c>
      <c r="D12" s="27">
        <f>'[1]Ambos lados'!D21+'[2]Ambos lados'!D21+'[3]Ambos lados'!D21+'[4]Ambos lados'!D21+'[5]Ambos lados'!D21+'[6]Ambos lados'!D21+'[7]Ambos lados'!D21</f>
        <v>196</v>
      </c>
      <c r="E12" s="27">
        <f>'[1]Ambos lados'!E21+'[2]Ambos lados'!E21+'[3]Ambos lados'!E21+'[4]Ambos lados'!E21+'[5]Ambos lados'!E21+'[6]Ambos lados'!E21+'[7]Ambos lados'!E21</f>
        <v>2</v>
      </c>
      <c r="F12" s="27">
        <f>'[1]Ambos lados'!F21+'[2]Ambos lados'!F21+'[3]Ambos lados'!F21+'[4]Ambos lados'!F21+'[5]Ambos lados'!F21+'[6]Ambos lados'!F21+'[7]Ambos lados'!F21</f>
        <v>31</v>
      </c>
      <c r="G12" s="27">
        <f>'[1]Ambos lados'!G21+'[2]Ambos lados'!G21+'[3]Ambos lados'!G21+'[4]Ambos lados'!G21+'[5]Ambos lados'!G21+'[6]Ambos lados'!G21+'[7]Ambos lados'!G21</f>
        <v>153</v>
      </c>
      <c r="H12" s="27">
        <f>'[1]Ambos lados'!H21+'[2]Ambos lados'!H21+'[3]Ambos lados'!H21+'[4]Ambos lados'!H21+'[5]Ambos lados'!H21+'[6]Ambos lados'!H21+'[7]Ambos lados'!H21</f>
        <v>17</v>
      </c>
      <c r="I12" s="27">
        <f>'[1]Ambos lados'!I21+'[2]Ambos lados'!I21+'[3]Ambos lados'!I21+'[4]Ambos lados'!I21+'[5]Ambos lados'!I21+'[6]Ambos lados'!I21+'[7]Ambos lados'!I21</f>
        <v>79</v>
      </c>
      <c r="J12" s="27">
        <f>'[1]Ambos lados'!J21+'[2]Ambos lados'!J21+'[3]Ambos lados'!J21+'[4]Ambos lados'!J21+'[5]Ambos lados'!J21+'[6]Ambos lados'!J21+'[7]Ambos lados'!J21</f>
        <v>91</v>
      </c>
      <c r="K12" s="27">
        <f>'[1]Ambos lados'!K21+'[2]Ambos lados'!K21+'[3]Ambos lados'!K21+'[4]Ambos lados'!K21+'[5]Ambos lados'!K21+'[6]Ambos lados'!K21+'[7]Ambos lados'!K21</f>
        <v>132</v>
      </c>
      <c r="L12" s="27">
        <f>'[1]Ambos lados'!L21+'[2]Ambos lados'!L21+'[3]Ambos lados'!L21+'[4]Ambos lados'!L21+'[5]Ambos lados'!L21+'[6]Ambos lados'!L21+'[7]Ambos lados'!L21</f>
        <v>47</v>
      </c>
      <c r="M12" s="27">
        <f>'[1]Ambos lados'!M21+'[2]Ambos lados'!M21+'[3]Ambos lados'!M21+'[4]Ambos lados'!M21+'[5]Ambos lados'!M21+'[6]Ambos lados'!M21+'[7]Ambos lados'!M21</f>
        <v>9</v>
      </c>
      <c r="N12" s="27">
        <f>'[1]Ambos lados'!N21+'[2]Ambos lados'!N21+'[3]Ambos lados'!N21+'[4]Ambos lados'!N21+'[5]Ambos lados'!N21+'[6]Ambos lados'!N21+'[7]Ambos lados'!N21</f>
        <v>0</v>
      </c>
      <c r="O12" s="27">
        <f>('[1]Ambos lados'!O21+'[2]Ambos lados'!O21+'[3]Ambos lados'!O21+'[4]Ambos lados'!O21+'[5]Ambos lados'!O21+'[6]Ambos lados'!O21+'[7]Ambos lados'!O21)/7</f>
        <v>164.85714285714286</v>
      </c>
      <c r="P12" s="28">
        <f t="shared" si="0"/>
        <v>4.4506151413475255E-2</v>
      </c>
    </row>
    <row r="13" spans="1:16" x14ac:dyDescent="0.25">
      <c r="A13" s="29" t="s">
        <v>69</v>
      </c>
      <c r="B13" s="27">
        <f>'[1]Ambos lados'!B22+'[2]Ambos lados'!B22+'[3]Ambos lados'!B22+'[4]Ambos lados'!B22+'[5]Ambos lados'!B22+'[6]Ambos lados'!B22+'[7]Ambos lados'!B22</f>
        <v>365</v>
      </c>
      <c r="C13" s="27">
        <f>'[1]Ambos lados'!C22+'[2]Ambos lados'!C22+'[3]Ambos lados'!C22+'[4]Ambos lados'!C22+'[5]Ambos lados'!C22+'[6]Ambos lados'!C22+'[7]Ambos lados'!C22</f>
        <v>66</v>
      </c>
      <c r="D13" s="27">
        <f>'[1]Ambos lados'!D22+'[2]Ambos lados'!D22+'[3]Ambos lados'!D22+'[4]Ambos lados'!D22+'[5]Ambos lados'!D22+'[6]Ambos lados'!D22+'[7]Ambos lados'!D22</f>
        <v>180</v>
      </c>
      <c r="E13" s="27">
        <f>'[1]Ambos lados'!E22+'[2]Ambos lados'!E22+'[3]Ambos lados'!E22+'[4]Ambos lados'!E22+'[5]Ambos lados'!E22+'[6]Ambos lados'!E22+'[7]Ambos lados'!E22</f>
        <v>3</v>
      </c>
      <c r="F13" s="27">
        <f>'[1]Ambos lados'!F22+'[2]Ambos lados'!F22+'[3]Ambos lados'!F22+'[4]Ambos lados'!F22+'[5]Ambos lados'!F22+'[6]Ambos lados'!F22+'[7]Ambos lados'!F22</f>
        <v>18</v>
      </c>
      <c r="G13" s="27">
        <f>'[1]Ambos lados'!G22+'[2]Ambos lados'!G22+'[3]Ambos lados'!G22+'[4]Ambos lados'!G22+'[5]Ambos lados'!G22+'[6]Ambos lados'!G22+'[7]Ambos lados'!G22</f>
        <v>154</v>
      </c>
      <c r="H13" s="27">
        <f>'[1]Ambos lados'!H22+'[2]Ambos lados'!H22+'[3]Ambos lados'!H22+'[4]Ambos lados'!H22+'[5]Ambos lados'!H22+'[6]Ambos lados'!H22+'[7]Ambos lados'!H22</f>
        <v>13</v>
      </c>
      <c r="I13" s="27">
        <f>'[1]Ambos lados'!I22+'[2]Ambos lados'!I22+'[3]Ambos lados'!I22+'[4]Ambos lados'!I22+'[5]Ambos lados'!I22+'[6]Ambos lados'!I22+'[7]Ambos lados'!I22</f>
        <v>35</v>
      </c>
      <c r="J13" s="27">
        <f>'[1]Ambos lados'!J22+'[2]Ambos lados'!J22+'[3]Ambos lados'!J22+'[4]Ambos lados'!J22+'[5]Ambos lados'!J22+'[6]Ambos lados'!J22+'[7]Ambos lados'!J22</f>
        <v>74</v>
      </c>
      <c r="K13" s="27">
        <f>'[1]Ambos lados'!K22+'[2]Ambos lados'!K22+'[3]Ambos lados'!K22+'[4]Ambos lados'!K22+'[5]Ambos lados'!K22+'[6]Ambos lados'!K22+'[7]Ambos lados'!K22</f>
        <v>115</v>
      </c>
      <c r="L13" s="27">
        <f>'[1]Ambos lados'!L22+'[2]Ambos lados'!L22+'[3]Ambos lados'!L22+'[4]Ambos lados'!L22+'[5]Ambos lados'!L22+'[6]Ambos lados'!L22+'[7]Ambos lados'!L22</f>
        <v>28</v>
      </c>
      <c r="M13" s="27">
        <f>'[1]Ambos lados'!M22+'[2]Ambos lados'!M22+'[3]Ambos lados'!M22+'[4]Ambos lados'!M22+'[5]Ambos lados'!M22+'[6]Ambos lados'!M22+'[7]Ambos lados'!M22</f>
        <v>27</v>
      </c>
      <c r="N13" s="27">
        <f>'[1]Ambos lados'!N22+'[2]Ambos lados'!N22+'[3]Ambos lados'!N22+'[4]Ambos lados'!N22+'[5]Ambos lados'!N22+'[6]Ambos lados'!N22+'[7]Ambos lados'!N22</f>
        <v>0</v>
      </c>
      <c r="O13" s="27">
        <f>('[1]Ambos lados'!O22+'[2]Ambos lados'!O22+'[3]Ambos lados'!O22+'[4]Ambos lados'!O22+'[5]Ambos lados'!O22+'[6]Ambos lados'!O22+'[7]Ambos lados'!O22)/7</f>
        <v>154</v>
      </c>
      <c r="P13" s="28">
        <f t="shared" si="0"/>
        <v>4.1575070384511546E-2</v>
      </c>
    </row>
    <row r="14" spans="1:16" x14ac:dyDescent="0.25">
      <c r="A14" s="29" t="s">
        <v>70</v>
      </c>
      <c r="B14" s="27">
        <f>'[1]Ambos lados'!B23+'[2]Ambos lados'!B23+'[3]Ambos lados'!B23+'[4]Ambos lados'!B23+'[5]Ambos lados'!B23+'[6]Ambos lados'!B23+'[7]Ambos lados'!B23</f>
        <v>382</v>
      </c>
      <c r="C14" s="27">
        <f>'[1]Ambos lados'!C23+'[2]Ambos lados'!C23+'[3]Ambos lados'!C23+'[4]Ambos lados'!C23+'[5]Ambos lados'!C23+'[6]Ambos lados'!C23+'[7]Ambos lados'!C23</f>
        <v>55</v>
      </c>
      <c r="D14" s="27">
        <f>'[1]Ambos lados'!D23+'[2]Ambos lados'!D23+'[3]Ambos lados'!D23+'[4]Ambos lados'!D23+'[5]Ambos lados'!D23+'[6]Ambos lados'!D23+'[7]Ambos lados'!D23</f>
        <v>237</v>
      </c>
      <c r="E14" s="27">
        <f>'[1]Ambos lados'!E23+'[2]Ambos lados'!E23+'[3]Ambos lados'!E23+'[4]Ambos lados'!E23+'[5]Ambos lados'!E23+'[6]Ambos lados'!E23+'[7]Ambos lados'!E23</f>
        <v>1</v>
      </c>
      <c r="F14" s="27">
        <f>'[1]Ambos lados'!F23+'[2]Ambos lados'!F23+'[3]Ambos lados'!F23+'[4]Ambos lados'!F23+'[5]Ambos lados'!F23+'[6]Ambos lados'!F23+'[7]Ambos lados'!F23</f>
        <v>35</v>
      </c>
      <c r="G14" s="27">
        <f>'[1]Ambos lados'!G23+'[2]Ambos lados'!G23+'[3]Ambos lados'!G23+'[4]Ambos lados'!G23+'[5]Ambos lados'!G23+'[6]Ambos lados'!G23+'[7]Ambos lados'!G23</f>
        <v>178</v>
      </c>
      <c r="H14" s="27">
        <f>'[1]Ambos lados'!H23+'[2]Ambos lados'!H23+'[3]Ambos lados'!H23+'[4]Ambos lados'!H23+'[5]Ambos lados'!H23+'[6]Ambos lados'!H23+'[7]Ambos lados'!H23</f>
        <v>20</v>
      </c>
      <c r="I14" s="27">
        <f>'[1]Ambos lados'!I23+'[2]Ambos lados'!I23+'[3]Ambos lados'!I23+'[4]Ambos lados'!I23+'[5]Ambos lados'!I23+'[6]Ambos lados'!I23+'[7]Ambos lados'!I23</f>
        <v>51</v>
      </c>
      <c r="J14" s="27">
        <f>'[1]Ambos lados'!J23+'[2]Ambos lados'!J23+'[3]Ambos lados'!J23+'[4]Ambos lados'!J23+'[5]Ambos lados'!J23+'[6]Ambos lados'!J23+'[7]Ambos lados'!J23</f>
        <v>93</v>
      </c>
      <c r="K14" s="27">
        <f>'[1]Ambos lados'!K23+'[2]Ambos lados'!K23+'[3]Ambos lados'!K23+'[4]Ambos lados'!K23+'[5]Ambos lados'!K23+'[6]Ambos lados'!K23+'[7]Ambos lados'!K23</f>
        <v>99</v>
      </c>
      <c r="L14" s="27">
        <f>'[1]Ambos lados'!L23+'[2]Ambos lados'!L23+'[3]Ambos lados'!L23+'[4]Ambos lados'!L23+'[5]Ambos lados'!L23+'[6]Ambos lados'!L23+'[7]Ambos lados'!L23</f>
        <v>47</v>
      </c>
      <c r="M14" s="27">
        <f>'[1]Ambos lados'!M23+'[2]Ambos lados'!M23+'[3]Ambos lados'!M23+'[4]Ambos lados'!M23+'[5]Ambos lados'!M23+'[6]Ambos lados'!M23+'[7]Ambos lados'!M23</f>
        <v>10</v>
      </c>
      <c r="N14" s="27">
        <f>'[1]Ambos lados'!N23+'[2]Ambos lados'!N23+'[3]Ambos lados'!N23+'[4]Ambos lados'!N23+'[5]Ambos lados'!N23+'[6]Ambos lados'!N23+'[7]Ambos lados'!N23</f>
        <v>0</v>
      </c>
      <c r="O14" s="27">
        <f>('[1]Ambos lados'!O23+'[2]Ambos lados'!O23+'[3]Ambos lados'!O23+'[4]Ambos lados'!O23+'[5]Ambos lados'!O23+'[6]Ambos lados'!O23+'[7]Ambos lados'!O23)/7</f>
        <v>172.57142857142858</v>
      </c>
      <c r="P14" s="28">
        <f t="shared" si="0"/>
        <v>4.6588761618265265E-2</v>
      </c>
    </row>
    <row r="15" spans="1:16" x14ac:dyDescent="0.25">
      <c r="A15" s="29" t="s">
        <v>71</v>
      </c>
      <c r="B15" s="27">
        <f>'[1]Ambos lados'!B24+'[2]Ambos lados'!B24+'[3]Ambos lados'!B24+'[4]Ambos lados'!B24+'[5]Ambos lados'!B24+'[6]Ambos lados'!B24+'[7]Ambos lados'!B24</f>
        <v>395</v>
      </c>
      <c r="C15" s="27">
        <f>'[1]Ambos lados'!C24+'[2]Ambos lados'!C24+'[3]Ambos lados'!C24+'[4]Ambos lados'!C24+'[5]Ambos lados'!C24+'[6]Ambos lados'!C24+'[7]Ambos lados'!C24</f>
        <v>82</v>
      </c>
      <c r="D15" s="27">
        <f>'[1]Ambos lados'!D24+'[2]Ambos lados'!D24+'[3]Ambos lados'!D24+'[4]Ambos lados'!D24+'[5]Ambos lados'!D24+'[6]Ambos lados'!D24+'[7]Ambos lados'!D24</f>
        <v>277</v>
      </c>
      <c r="E15" s="27">
        <f>'[1]Ambos lados'!E24+'[2]Ambos lados'!E24+'[3]Ambos lados'!E24+'[4]Ambos lados'!E24+'[5]Ambos lados'!E24+'[6]Ambos lados'!E24+'[7]Ambos lados'!E24</f>
        <v>3</v>
      </c>
      <c r="F15" s="27">
        <f>'[1]Ambos lados'!F24+'[2]Ambos lados'!F24+'[3]Ambos lados'!F24+'[4]Ambos lados'!F24+'[5]Ambos lados'!F24+'[6]Ambos lados'!F24+'[7]Ambos lados'!F24</f>
        <v>34</v>
      </c>
      <c r="G15" s="27">
        <f>'[1]Ambos lados'!G24+'[2]Ambos lados'!G24+'[3]Ambos lados'!G24+'[4]Ambos lados'!G24+'[5]Ambos lados'!G24+'[6]Ambos lados'!G24+'[7]Ambos lados'!G24</f>
        <v>201</v>
      </c>
      <c r="H15" s="27">
        <f>'[1]Ambos lados'!H24+'[2]Ambos lados'!H24+'[3]Ambos lados'!H24+'[4]Ambos lados'!H24+'[5]Ambos lados'!H24+'[6]Ambos lados'!H24+'[7]Ambos lados'!H24</f>
        <v>18</v>
      </c>
      <c r="I15" s="27">
        <f>'[1]Ambos lados'!I24+'[2]Ambos lados'!I24+'[3]Ambos lados'!I24+'[4]Ambos lados'!I24+'[5]Ambos lados'!I24+'[6]Ambos lados'!I24+'[7]Ambos lados'!I24</f>
        <v>79</v>
      </c>
      <c r="J15" s="27">
        <f>'[1]Ambos lados'!J24+'[2]Ambos lados'!J24+'[3]Ambos lados'!J24+'[4]Ambos lados'!J24+'[5]Ambos lados'!J24+'[6]Ambos lados'!J24+'[7]Ambos lados'!J24</f>
        <v>101</v>
      </c>
      <c r="K15" s="27">
        <f>'[1]Ambos lados'!K24+'[2]Ambos lados'!K24+'[3]Ambos lados'!K24+'[4]Ambos lados'!K24+'[5]Ambos lados'!K24+'[6]Ambos lados'!K24+'[7]Ambos lados'!K24</f>
        <v>156</v>
      </c>
      <c r="L15" s="27">
        <f>'[1]Ambos lados'!L24+'[2]Ambos lados'!L24+'[3]Ambos lados'!L24+'[4]Ambos lados'!L24+'[5]Ambos lados'!L24+'[6]Ambos lados'!L24+'[7]Ambos lados'!L24</f>
        <v>62</v>
      </c>
      <c r="M15" s="27">
        <f>'[1]Ambos lados'!M24+'[2]Ambos lados'!M24+'[3]Ambos lados'!M24+'[4]Ambos lados'!M24+'[5]Ambos lados'!M24+'[6]Ambos lados'!M24+'[7]Ambos lados'!M24</f>
        <v>9</v>
      </c>
      <c r="N15" s="27">
        <f>'[1]Ambos lados'!N24+'[2]Ambos lados'!N24+'[3]Ambos lados'!N24+'[4]Ambos lados'!N24+'[5]Ambos lados'!N24+'[6]Ambos lados'!N24+'[7]Ambos lados'!N24</f>
        <v>0</v>
      </c>
      <c r="O15" s="27">
        <f>('[1]Ambos lados'!O24+'[2]Ambos lados'!O24+'[3]Ambos lados'!O24+'[4]Ambos lados'!O24+'[5]Ambos lados'!O24+'[6]Ambos lados'!O24+'[7]Ambos lados'!O24)/7</f>
        <v>202.42857142857142</v>
      </c>
      <c r="P15" s="28">
        <f t="shared" si="0"/>
        <v>5.4649234447915453E-2</v>
      </c>
    </row>
    <row r="16" spans="1:16" x14ac:dyDescent="0.25">
      <c r="A16" s="29" t="s">
        <v>72</v>
      </c>
      <c r="B16" s="27">
        <f>'[1]Ambos lados'!B25+'[2]Ambos lados'!B25+'[3]Ambos lados'!B25+'[4]Ambos lados'!B25+'[5]Ambos lados'!B25+'[6]Ambos lados'!B25+'[7]Ambos lados'!B25</f>
        <v>453</v>
      </c>
      <c r="C16" s="27">
        <f>'[1]Ambos lados'!C25+'[2]Ambos lados'!C25+'[3]Ambos lados'!C25+'[4]Ambos lados'!C25+'[5]Ambos lados'!C25+'[6]Ambos lados'!C25+'[7]Ambos lados'!C25</f>
        <v>71</v>
      </c>
      <c r="D16" s="27">
        <f>'[1]Ambos lados'!D25+'[2]Ambos lados'!D25+'[3]Ambos lados'!D25+'[4]Ambos lados'!D25+'[5]Ambos lados'!D25+'[6]Ambos lados'!D25+'[7]Ambos lados'!D25</f>
        <v>251</v>
      </c>
      <c r="E16" s="27">
        <f>'[1]Ambos lados'!E25+'[2]Ambos lados'!E25+'[3]Ambos lados'!E25+'[4]Ambos lados'!E25+'[5]Ambos lados'!E25+'[6]Ambos lados'!E25+'[7]Ambos lados'!E25</f>
        <v>1</v>
      </c>
      <c r="F16" s="27">
        <f>'[1]Ambos lados'!F25+'[2]Ambos lados'!F25+'[3]Ambos lados'!F25+'[4]Ambos lados'!F25+'[5]Ambos lados'!F25+'[6]Ambos lados'!F25+'[7]Ambos lados'!F25</f>
        <v>37</v>
      </c>
      <c r="G16" s="27">
        <f>'[1]Ambos lados'!G25+'[2]Ambos lados'!G25+'[3]Ambos lados'!G25+'[4]Ambos lados'!G25+'[5]Ambos lados'!G25+'[6]Ambos lados'!G25+'[7]Ambos lados'!G25</f>
        <v>167</v>
      </c>
      <c r="H16" s="27">
        <f>'[1]Ambos lados'!H25+'[2]Ambos lados'!H25+'[3]Ambos lados'!H25+'[4]Ambos lados'!H25+'[5]Ambos lados'!H25+'[6]Ambos lados'!H25+'[7]Ambos lados'!H25</f>
        <v>32</v>
      </c>
      <c r="I16" s="27">
        <f>'[1]Ambos lados'!I25+'[2]Ambos lados'!I25+'[3]Ambos lados'!I25+'[4]Ambos lados'!I25+'[5]Ambos lados'!I25+'[6]Ambos lados'!I25+'[7]Ambos lados'!I25</f>
        <v>88</v>
      </c>
      <c r="J16" s="27">
        <f>'[1]Ambos lados'!J25+'[2]Ambos lados'!J25+'[3]Ambos lados'!J25+'[4]Ambos lados'!J25+'[5]Ambos lados'!J25+'[6]Ambos lados'!J25+'[7]Ambos lados'!J25</f>
        <v>105</v>
      </c>
      <c r="K16" s="27">
        <f>'[1]Ambos lados'!K25+'[2]Ambos lados'!K25+'[3]Ambos lados'!K25+'[4]Ambos lados'!K25+'[5]Ambos lados'!K25+'[6]Ambos lados'!K25+'[7]Ambos lados'!K25</f>
        <v>160</v>
      </c>
      <c r="L16" s="27">
        <f>'[1]Ambos lados'!L25+'[2]Ambos lados'!L25+'[3]Ambos lados'!L25+'[4]Ambos lados'!L25+'[5]Ambos lados'!L25+'[6]Ambos lados'!L25+'[7]Ambos lados'!L25</f>
        <v>51</v>
      </c>
      <c r="M16" s="27">
        <f>'[1]Ambos lados'!M25+'[2]Ambos lados'!M25+'[3]Ambos lados'!M25+'[4]Ambos lados'!M25+'[5]Ambos lados'!M25+'[6]Ambos lados'!M25+'[7]Ambos lados'!M25</f>
        <v>12</v>
      </c>
      <c r="N16" s="27">
        <f>'[1]Ambos lados'!N25+'[2]Ambos lados'!N25+'[3]Ambos lados'!N25+'[4]Ambos lados'!N25+'[5]Ambos lados'!N25+'[6]Ambos lados'!N25+'[7]Ambos lados'!N25</f>
        <v>0</v>
      </c>
      <c r="O16" s="27">
        <f>('[1]Ambos lados'!O25+'[2]Ambos lados'!O25+'[3]Ambos lados'!O25+'[4]Ambos lados'!O25+'[5]Ambos lados'!O25+'[6]Ambos lados'!O25+'[7]Ambos lados'!O25)/7</f>
        <v>204</v>
      </c>
      <c r="P16" s="28">
        <f t="shared" si="0"/>
        <v>5.5073469860002312E-2</v>
      </c>
    </row>
    <row r="17" spans="1:16" x14ac:dyDescent="0.25">
      <c r="A17" s="29" t="s">
        <v>73</v>
      </c>
      <c r="B17" s="27">
        <f>'[1]Ambos lados'!B26+'[2]Ambos lados'!B26+'[3]Ambos lados'!B26+'[4]Ambos lados'!B26+'[5]Ambos lados'!B26+'[6]Ambos lados'!B26+'[7]Ambos lados'!B26</f>
        <v>398</v>
      </c>
      <c r="C17" s="27">
        <f>'[1]Ambos lados'!C26+'[2]Ambos lados'!C26+'[3]Ambos lados'!C26+'[4]Ambos lados'!C26+'[5]Ambos lados'!C26+'[6]Ambos lados'!C26+'[7]Ambos lados'!C26</f>
        <v>60</v>
      </c>
      <c r="D17" s="27">
        <f>'[1]Ambos lados'!D26+'[2]Ambos lados'!D26+'[3]Ambos lados'!D26+'[4]Ambos lados'!D26+'[5]Ambos lados'!D26+'[6]Ambos lados'!D26+'[7]Ambos lados'!D26</f>
        <v>233</v>
      </c>
      <c r="E17" s="27">
        <f>'[1]Ambos lados'!E26+'[2]Ambos lados'!E26+'[3]Ambos lados'!E26+'[4]Ambos lados'!E26+'[5]Ambos lados'!E26+'[6]Ambos lados'!E26+'[7]Ambos lados'!E26</f>
        <v>2</v>
      </c>
      <c r="F17" s="27">
        <f>'[1]Ambos lados'!F26+'[2]Ambos lados'!F26+'[3]Ambos lados'!F26+'[4]Ambos lados'!F26+'[5]Ambos lados'!F26+'[6]Ambos lados'!F26+'[7]Ambos lados'!F26</f>
        <v>27</v>
      </c>
      <c r="G17" s="27">
        <f>'[1]Ambos lados'!G26+'[2]Ambos lados'!G26+'[3]Ambos lados'!G26+'[4]Ambos lados'!G26+'[5]Ambos lados'!G26+'[6]Ambos lados'!G26+'[7]Ambos lados'!G26</f>
        <v>167</v>
      </c>
      <c r="H17" s="27">
        <f>'[1]Ambos lados'!H26+'[2]Ambos lados'!H26+'[3]Ambos lados'!H26+'[4]Ambos lados'!H26+'[5]Ambos lados'!H26+'[6]Ambos lados'!H26+'[7]Ambos lados'!H26</f>
        <v>17</v>
      </c>
      <c r="I17" s="27">
        <f>'[1]Ambos lados'!I26+'[2]Ambos lados'!I26+'[3]Ambos lados'!I26+'[4]Ambos lados'!I26+'[5]Ambos lados'!I26+'[6]Ambos lados'!I26+'[7]Ambos lados'!I26</f>
        <v>76</v>
      </c>
      <c r="J17" s="27">
        <f>'[1]Ambos lados'!J26+'[2]Ambos lados'!J26+'[3]Ambos lados'!J26+'[4]Ambos lados'!J26+'[5]Ambos lados'!J26+'[6]Ambos lados'!J26+'[7]Ambos lados'!J26</f>
        <v>147</v>
      </c>
      <c r="K17" s="27">
        <f>'[1]Ambos lados'!K26+'[2]Ambos lados'!K26+'[3]Ambos lados'!K26+'[4]Ambos lados'!K26+'[5]Ambos lados'!K26+'[6]Ambos lados'!K26+'[7]Ambos lados'!K26</f>
        <v>155</v>
      </c>
      <c r="L17" s="27">
        <f>'[1]Ambos lados'!L26+'[2]Ambos lados'!L26+'[3]Ambos lados'!L26+'[4]Ambos lados'!L26+'[5]Ambos lados'!L26+'[6]Ambos lados'!L26+'[7]Ambos lados'!L26</f>
        <v>48</v>
      </c>
      <c r="M17" s="27">
        <f>'[1]Ambos lados'!M26+'[2]Ambos lados'!M26+'[3]Ambos lados'!M26+'[4]Ambos lados'!M26+'[5]Ambos lados'!M26+'[6]Ambos lados'!M26+'[7]Ambos lados'!M26</f>
        <v>8</v>
      </c>
      <c r="N17" s="27">
        <f>'[1]Ambos lados'!N26+'[2]Ambos lados'!N26+'[3]Ambos lados'!N26+'[4]Ambos lados'!N26+'[5]Ambos lados'!N26+'[6]Ambos lados'!N26+'[7]Ambos lados'!N26</f>
        <v>0</v>
      </c>
      <c r="O17" s="27">
        <f>('[1]Ambos lados'!O26+'[2]Ambos lados'!O26+'[3]Ambos lados'!O26+'[4]Ambos lados'!O26+'[5]Ambos lados'!O26+'[6]Ambos lados'!O26+'[7]Ambos lados'!O26)/7</f>
        <v>191.14285714285714</v>
      </c>
      <c r="P17" s="28">
        <f t="shared" si="0"/>
        <v>5.1602452852018969E-2</v>
      </c>
    </row>
    <row r="18" spans="1:16" x14ac:dyDescent="0.25">
      <c r="A18" s="29" t="s">
        <v>74</v>
      </c>
      <c r="B18" s="27">
        <f>'[1]Ambos lados'!B27+'[2]Ambos lados'!B27+'[3]Ambos lados'!B27+'[4]Ambos lados'!B27+'[5]Ambos lados'!B27+'[6]Ambos lados'!B27+'[7]Ambos lados'!B27</f>
        <v>463</v>
      </c>
      <c r="C18" s="27">
        <f>'[1]Ambos lados'!C27+'[2]Ambos lados'!C27+'[3]Ambos lados'!C27+'[4]Ambos lados'!C27+'[5]Ambos lados'!C27+'[6]Ambos lados'!C27+'[7]Ambos lados'!C27</f>
        <v>58</v>
      </c>
      <c r="D18" s="27">
        <f>'[1]Ambos lados'!D27+'[2]Ambos lados'!D27+'[3]Ambos lados'!D27+'[4]Ambos lados'!D27+'[5]Ambos lados'!D27+'[6]Ambos lados'!D27+'[7]Ambos lados'!D27</f>
        <v>239</v>
      </c>
      <c r="E18" s="27">
        <f>'[1]Ambos lados'!E27+'[2]Ambos lados'!E27+'[3]Ambos lados'!E27+'[4]Ambos lados'!E27+'[5]Ambos lados'!E27+'[6]Ambos lados'!E27+'[7]Ambos lados'!E27</f>
        <v>0</v>
      </c>
      <c r="F18" s="27">
        <f>'[1]Ambos lados'!F27+'[2]Ambos lados'!F27+'[3]Ambos lados'!F27+'[4]Ambos lados'!F27+'[5]Ambos lados'!F27+'[6]Ambos lados'!F27+'[7]Ambos lados'!F27</f>
        <v>15</v>
      </c>
      <c r="G18" s="27">
        <f>'[1]Ambos lados'!G27+'[2]Ambos lados'!G27+'[3]Ambos lados'!G27+'[4]Ambos lados'!G27+'[5]Ambos lados'!G27+'[6]Ambos lados'!G27+'[7]Ambos lados'!G27</f>
        <v>184</v>
      </c>
      <c r="H18" s="27">
        <f>'[1]Ambos lados'!H27+'[2]Ambos lados'!H27+'[3]Ambos lados'!H27+'[4]Ambos lados'!H27+'[5]Ambos lados'!H27+'[6]Ambos lados'!H27+'[7]Ambos lados'!H27</f>
        <v>28</v>
      </c>
      <c r="I18" s="27">
        <f>'[1]Ambos lados'!I27+'[2]Ambos lados'!I27+'[3]Ambos lados'!I27+'[4]Ambos lados'!I27+'[5]Ambos lados'!I27+'[6]Ambos lados'!I27+'[7]Ambos lados'!I27</f>
        <v>96</v>
      </c>
      <c r="J18" s="27">
        <f>'[1]Ambos lados'!J27+'[2]Ambos lados'!J27+'[3]Ambos lados'!J27+'[4]Ambos lados'!J27+'[5]Ambos lados'!J27+'[6]Ambos lados'!J27+'[7]Ambos lados'!J27</f>
        <v>151</v>
      </c>
      <c r="K18" s="27">
        <f>'[1]Ambos lados'!K27+'[2]Ambos lados'!K27+'[3]Ambos lados'!K27+'[4]Ambos lados'!K27+'[5]Ambos lados'!K27+'[6]Ambos lados'!K27+'[7]Ambos lados'!K27</f>
        <v>195</v>
      </c>
      <c r="L18" s="27">
        <f>'[1]Ambos lados'!L27+'[2]Ambos lados'!L27+'[3]Ambos lados'!L27+'[4]Ambos lados'!L27+'[5]Ambos lados'!L27+'[6]Ambos lados'!L27+'[7]Ambos lados'!L27</f>
        <v>42</v>
      </c>
      <c r="M18" s="27">
        <f>'[1]Ambos lados'!M27+'[2]Ambos lados'!M27+'[3]Ambos lados'!M27+'[4]Ambos lados'!M27+'[5]Ambos lados'!M27+'[6]Ambos lados'!M27+'[7]Ambos lados'!M27</f>
        <v>5</v>
      </c>
      <c r="N18" s="27">
        <f>'[1]Ambos lados'!N27+'[2]Ambos lados'!N27+'[3]Ambos lados'!N27+'[4]Ambos lados'!N27+'[5]Ambos lados'!N27+'[6]Ambos lados'!N27+'[7]Ambos lados'!N27</f>
        <v>0</v>
      </c>
      <c r="O18" s="27">
        <f>('[1]Ambos lados'!O27+'[2]Ambos lados'!O27+'[3]Ambos lados'!O27+'[4]Ambos lados'!O27+'[5]Ambos lados'!O27+'[6]Ambos lados'!O27+'[7]Ambos lados'!O27)/7</f>
        <v>210.85714285714286</v>
      </c>
      <c r="P18" s="28">
        <f t="shared" si="0"/>
        <v>5.6924678930926759E-2</v>
      </c>
    </row>
    <row r="19" spans="1:16" x14ac:dyDescent="0.25">
      <c r="A19" s="29" t="s">
        <v>75</v>
      </c>
      <c r="B19" s="27">
        <f>'[1]Ambos lados'!B28+'[2]Ambos lados'!B28+'[3]Ambos lados'!B28+'[4]Ambos lados'!B28+'[5]Ambos lados'!B28+'[6]Ambos lados'!B28+'[7]Ambos lados'!B28</f>
        <v>403</v>
      </c>
      <c r="C19" s="27">
        <f>'[1]Ambos lados'!C28+'[2]Ambos lados'!C28+'[3]Ambos lados'!C28+'[4]Ambos lados'!C28+'[5]Ambos lados'!C28+'[6]Ambos lados'!C28+'[7]Ambos lados'!C28</f>
        <v>54</v>
      </c>
      <c r="D19" s="27">
        <f>'[1]Ambos lados'!D28+'[2]Ambos lados'!D28+'[3]Ambos lados'!D28+'[4]Ambos lados'!D28+'[5]Ambos lados'!D28+'[6]Ambos lados'!D28+'[7]Ambos lados'!D28</f>
        <v>242</v>
      </c>
      <c r="E19" s="27">
        <f>'[1]Ambos lados'!E28+'[2]Ambos lados'!E28+'[3]Ambos lados'!E28+'[4]Ambos lados'!E28+'[5]Ambos lados'!E28+'[6]Ambos lados'!E28+'[7]Ambos lados'!E28</f>
        <v>0</v>
      </c>
      <c r="F19" s="27">
        <f>'[1]Ambos lados'!F28+'[2]Ambos lados'!F28+'[3]Ambos lados'!F28+'[4]Ambos lados'!F28+'[5]Ambos lados'!F28+'[6]Ambos lados'!F28+'[7]Ambos lados'!F28</f>
        <v>20</v>
      </c>
      <c r="G19" s="27">
        <f>'[1]Ambos lados'!G28+'[2]Ambos lados'!G28+'[3]Ambos lados'!G28+'[4]Ambos lados'!G28+'[5]Ambos lados'!G28+'[6]Ambos lados'!G28+'[7]Ambos lados'!G28</f>
        <v>181</v>
      </c>
      <c r="H19" s="27">
        <f>'[1]Ambos lados'!H28+'[2]Ambos lados'!H28+'[3]Ambos lados'!H28+'[4]Ambos lados'!H28+'[5]Ambos lados'!H28+'[6]Ambos lados'!H28+'[7]Ambos lados'!H28</f>
        <v>24</v>
      </c>
      <c r="I19" s="27">
        <f>'[1]Ambos lados'!I28+'[2]Ambos lados'!I28+'[3]Ambos lados'!I28+'[4]Ambos lados'!I28+'[5]Ambos lados'!I28+'[6]Ambos lados'!I28+'[7]Ambos lados'!I28</f>
        <v>100</v>
      </c>
      <c r="J19" s="27">
        <f>'[1]Ambos lados'!J28+'[2]Ambos lados'!J28+'[3]Ambos lados'!J28+'[4]Ambos lados'!J28+'[5]Ambos lados'!J28+'[6]Ambos lados'!J28+'[7]Ambos lados'!J28</f>
        <v>128</v>
      </c>
      <c r="K19" s="27">
        <f>'[1]Ambos lados'!K28+'[2]Ambos lados'!K28+'[3]Ambos lados'!K28+'[4]Ambos lados'!K28+'[5]Ambos lados'!K28+'[6]Ambos lados'!K28+'[7]Ambos lados'!K28</f>
        <v>164</v>
      </c>
      <c r="L19" s="27">
        <f>'[1]Ambos lados'!L28+'[2]Ambos lados'!L28+'[3]Ambos lados'!L28+'[4]Ambos lados'!L28+'[5]Ambos lados'!L28+'[6]Ambos lados'!L28+'[7]Ambos lados'!L28</f>
        <v>45</v>
      </c>
      <c r="M19" s="27">
        <f>'[1]Ambos lados'!M28+'[2]Ambos lados'!M28+'[3]Ambos lados'!M28+'[4]Ambos lados'!M28+'[5]Ambos lados'!M28+'[6]Ambos lados'!M28+'[7]Ambos lados'!M28</f>
        <v>5</v>
      </c>
      <c r="N19" s="27">
        <f>'[1]Ambos lados'!N28+'[2]Ambos lados'!N28+'[3]Ambos lados'!N28+'[4]Ambos lados'!N28+'[5]Ambos lados'!N28+'[6]Ambos lados'!N28+'[7]Ambos lados'!N28</f>
        <v>0</v>
      </c>
      <c r="O19" s="27">
        <f>('[1]Ambos lados'!O28+'[2]Ambos lados'!O28+'[3]Ambos lados'!O28+'[4]Ambos lados'!O28+'[5]Ambos lados'!O28+'[6]Ambos lados'!O28+'[7]Ambos lados'!O28)/7</f>
        <v>195.14285714285714</v>
      </c>
      <c r="P19" s="28">
        <f t="shared" si="0"/>
        <v>5.2682324810058231E-2</v>
      </c>
    </row>
    <row r="20" spans="1:16" x14ac:dyDescent="0.25">
      <c r="A20" s="29" t="s">
        <v>76</v>
      </c>
      <c r="B20" s="27">
        <f>'[1]Ambos lados'!B29+'[2]Ambos lados'!B29+'[3]Ambos lados'!B29+'[4]Ambos lados'!B29+'[5]Ambos lados'!B29+'[6]Ambos lados'!B29+'[7]Ambos lados'!B29</f>
        <v>412</v>
      </c>
      <c r="C20" s="27">
        <f>'[1]Ambos lados'!C29+'[2]Ambos lados'!C29+'[3]Ambos lados'!C29+'[4]Ambos lados'!C29+'[5]Ambos lados'!C29+'[6]Ambos lados'!C29+'[7]Ambos lados'!C29</f>
        <v>66</v>
      </c>
      <c r="D20" s="27">
        <f>'[1]Ambos lados'!D29+'[2]Ambos lados'!D29+'[3]Ambos lados'!D29+'[4]Ambos lados'!D29+'[5]Ambos lados'!D29+'[6]Ambos lados'!D29+'[7]Ambos lados'!D29</f>
        <v>191</v>
      </c>
      <c r="E20" s="27">
        <f>'[1]Ambos lados'!E29+'[2]Ambos lados'!E29+'[3]Ambos lados'!E29+'[4]Ambos lados'!E29+'[5]Ambos lados'!E29+'[6]Ambos lados'!E29+'[7]Ambos lados'!E29</f>
        <v>0</v>
      </c>
      <c r="F20" s="27">
        <f>'[1]Ambos lados'!F29+'[2]Ambos lados'!F29+'[3]Ambos lados'!F29+'[4]Ambos lados'!F29+'[5]Ambos lados'!F29+'[6]Ambos lados'!F29+'[7]Ambos lados'!F29</f>
        <v>9</v>
      </c>
      <c r="G20" s="27">
        <f>'[1]Ambos lados'!G29+'[2]Ambos lados'!G29+'[3]Ambos lados'!G29+'[4]Ambos lados'!G29+'[5]Ambos lados'!G29+'[6]Ambos lados'!G29+'[7]Ambos lados'!G29</f>
        <v>140</v>
      </c>
      <c r="H20" s="27">
        <f>'[1]Ambos lados'!H29+'[2]Ambos lados'!H29+'[3]Ambos lados'!H29+'[4]Ambos lados'!H29+'[5]Ambos lados'!H29+'[6]Ambos lados'!H29+'[7]Ambos lados'!H29</f>
        <v>19</v>
      </c>
      <c r="I20" s="27">
        <f>'[1]Ambos lados'!I29+'[2]Ambos lados'!I29+'[3]Ambos lados'!I29+'[4]Ambos lados'!I29+'[5]Ambos lados'!I29+'[6]Ambos lados'!I29+'[7]Ambos lados'!I29</f>
        <v>88</v>
      </c>
      <c r="J20" s="27">
        <f>'[1]Ambos lados'!J29+'[2]Ambos lados'!J29+'[3]Ambos lados'!J29+'[4]Ambos lados'!J29+'[5]Ambos lados'!J29+'[6]Ambos lados'!J29+'[7]Ambos lados'!J29</f>
        <v>127</v>
      </c>
      <c r="K20" s="27">
        <f>'[1]Ambos lados'!K29+'[2]Ambos lados'!K29+'[3]Ambos lados'!K29+'[4]Ambos lados'!K29+'[5]Ambos lados'!K29+'[6]Ambos lados'!K29+'[7]Ambos lados'!K29</f>
        <v>195</v>
      </c>
      <c r="L20" s="27">
        <f>'[1]Ambos lados'!L29+'[2]Ambos lados'!L29+'[3]Ambos lados'!L29+'[4]Ambos lados'!L29+'[5]Ambos lados'!L29+'[6]Ambos lados'!L29+'[7]Ambos lados'!L29</f>
        <v>45</v>
      </c>
      <c r="M20" s="27">
        <f>'[1]Ambos lados'!M29+'[2]Ambos lados'!M29+'[3]Ambos lados'!M29+'[4]Ambos lados'!M29+'[5]Ambos lados'!M29+'[6]Ambos lados'!M29+'[7]Ambos lados'!M29</f>
        <v>6</v>
      </c>
      <c r="N20" s="27">
        <f>'[1]Ambos lados'!N29+'[2]Ambos lados'!N29+'[3]Ambos lados'!N29+'[4]Ambos lados'!N29+'[5]Ambos lados'!N29+'[6]Ambos lados'!N29+'[7]Ambos lados'!N29</f>
        <v>0</v>
      </c>
      <c r="O20" s="27">
        <f>('[1]Ambos lados'!O29+'[2]Ambos lados'!O29+'[3]Ambos lados'!O29+'[4]Ambos lados'!O29+'[5]Ambos lados'!O29+'[6]Ambos lados'!O29+'[7]Ambos lados'!O29)/7</f>
        <v>185.42857142857142</v>
      </c>
      <c r="P20" s="28">
        <f t="shared" si="0"/>
        <v>5.0059778626248594E-2</v>
      </c>
    </row>
    <row r="21" spans="1:16" x14ac:dyDescent="0.25">
      <c r="A21" s="29" t="s">
        <v>77</v>
      </c>
      <c r="B21" s="27">
        <f>'[1]Ambos lados'!B30+'[2]Ambos lados'!B30+'[3]Ambos lados'!B30+'[4]Ambos lados'!B30+'[5]Ambos lados'!B30+'[6]Ambos lados'!B30+'[7]Ambos lados'!B30</f>
        <v>354</v>
      </c>
      <c r="C21" s="27">
        <f>'[1]Ambos lados'!C30+'[2]Ambos lados'!C30+'[3]Ambos lados'!C30+'[4]Ambos lados'!C30+'[5]Ambos lados'!C30+'[6]Ambos lados'!C30+'[7]Ambos lados'!C30</f>
        <v>56</v>
      </c>
      <c r="D21" s="27">
        <f>'[1]Ambos lados'!D30+'[2]Ambos lados'!D30+'[3]Ambos lados'!D30+'[4]Ambos lados'!D30+'[5]Ambos lados'!D30+'[6]Ambos lados'!D30+'[7]Ambos lados'!D30</f>
        <v>150</v>
      </c>
      <c r="E21" s="27">
        <f>'[1]Ambos lados'!E30+'[2]Ambos lados'!E30+'[3]Ambos lados'!E30+'[4]Ambos lados'!E30+'[5]Ambos lados'!E30+'[6]Ambos lados'!E30+'[7]Ambos lados'!E30</f>
        <v>1</v>
      </c>
      <c r="F21" s="27">
        <f>'[1]Ambos lados'!F30+'[2]Ambos lados'!F30+'[3]Ambos lados'!F30+'[4]Ambos lados'!F30+'[5]Ambos lados'!F30+'[6]Ambos lados'!F30+'[7]Ambos lados'!F30</f>
        <v>20</v>
      </c>
      <c r="G21" s="27">
        <f>'[1]Ambos lados'!G30+'[2]Ambos lados'!G30+'[3]Ambos lados'!G30+'[4]Ambos lados'!G30+'[5]Ambos lados'!G30+'[6]Ambos lados'!G30+'[7]Ambos lados'!G30</f>
        <v>165</v>
      </c>
      <c r="H21" s="27">
        <f>'[1]Ambos lados'!H30+'[2]Ambos lados'!H30+'[3]Ambos lados'!H30+'[4]Ambos lados'!H30+'[5]Ambos lados'!H30+'[6]Ambos lados'!H30+'[7]Ambos lados'!H30</f>
        <v>22</v>
      </c>
      <c r="I21" s="27">
        <f>'[1]Ambos lados'!I30+'[2]Ambos lados'!I30+'[3]Ambos lados'!I30+'[4]Ambos lados'!I30+'[5]Ambos lados'!I30+'[6]Ambos lados'!I30+'[7]Ambos lados'!I30</f>
        <v>81</v>
      </c>
      <c r="J21" s="27">
        <f>'[1]Ambos lados'!J30+'[2]Ambos lados'!J30+'[3]Ambos lados'!J30+'[4]Ambos lados'!J30+'[5]Ambos lados'!J30+'[6]Ambos lados'!J30+'[7]Ambos lados'!J30</f>
        <v>145</v>
      </c>
      <c r="K21" s="27">
        <f>'[1]Ambos lados'!K30+'[2]Ambos lados'!K30+'[3]Ambos lados'!K30+'[4]Ambos lados'!K30+'[5]Ambos lados'!K30+'[6]Ambos lados'!K30+'[7]Ambos lados'!K30</f>
        <v>180</v>
      </c>
      <c r="L21" s="27">
        <f>'[1]Ambos lados'!L30+'[2]Ambos lados'!L30+'[3]Ambos lados'!L30+'[4]Ambos lados'!L30+'[5]Ambos lados'!L30+'[6]Ambos lados'!L30+'[7]Ambos lados'!L30</f>
        <v>62</v>
      </c>
      <c r="M21" s="27">
        <f>'[1]Ambos lados'!M30+'[2]Ambos lados'!M30+'[3]Ambos lados'!M30+'[4]Ambos lados'!M30+'[5]Ambos lados'!M30+'[6]Ambos lados'!M30+'[7]Ambos lados'!M30</f>
        <v>2</v>
      </c>
      <c r="N21" s="27">
        <f>'[1]Ambos lados'!N30+'[2]Ambos lados'!N30+'[3]Ambos lados'!N30+'[4]Ambos lados'!N30+'[5]Ambos lados'!N30+'[6]Ambos lados'!N30+'[7]Ambos lados'!N30</f>
        <v>0</v>
      </c>
      <c r="O21" s="27">
        <f>('[1]Ambos lados'!O30+'[2]Ambos lados'!O30+'[3]Ambos lados'!O30+'[4]Ambos lados'!O30+'[5]Ambos lados'!O30+'[6]Ambos lados'!O30+'[7]Ambos lados'!O30)/7</f>
        <v>176.85714285714286</v>
      </c>
      <c r="P21" s="28">
        <f t="shared" si="0"/>
        <v>4.7745767287593041E-2</v>
      </c>
    </row>
    <row r="22" spans="1:16" x14ac:dyDescent="0.25">
      <c r="A22" s="29" t="s">
        <v>78</v>
      </c>
      <c r="B22" s="27">
        <f>'[1]Ambos lados'!B31+'[2]Ambos lados'!B31+'[3]Ambos lados'!B31+'[4]Ambos lados'!B31+'[5]Ambos lados'!B31+'[6]Ambos lados'!B31+'[7]Ambos lados'!B31</f>
        <v>291</v>
      </c>
      <c r="C22" s="27">
        <f>'[1]Ambos lados'!C31+'[2]Ambos lados'!C31+'[3]Ambos lados'!C31+'[4]Ambos lados'!C31+'[5]Ambos lados'!C31+'[6]Ambos lados'!C31+'[7]Ambos lados'!C31</f>
        <v>56</v>
      </c>
      <c r="D22" s="27">
        <f>'[1]Ambos lados'!D31+'[2]Ambos lados'!D31+'[3]Ambos lados'!D31+'[4]Ambos lados'!D31+'[5]Ambos lados'!D31+'[6]Ambos lados'!D31+'[7]Ambos lados'!D31</f>
        <v>163</v>
      </c>
      <c r="E22" s="27">
        <f>'[1]Ambos lados'!E31+'[2]Ambos lados'!E31+'[3]Ambos lados'!E31+'[4]Ambos lados'!E31+'[5]Ambos lados'!E31+'[6]Ambos lados'!E31+'[7]Ambos lados'!E31</f>
        <v>1</v>
      </c>
      <c r="F22" s="27">
        <f>'[1]Ambos lados'!F31+'[2]Ambos lados'!F31+'[3]Ambos lados'!F31+'[4]Ambos lados'!F31+'[5]Ambos lados'!F31+'[6]Ambos lados'!F31+'[7]Ambos lados'!F31</f>
        <v>22</v>
      </c>
      <c r="G22" s="27">
        <f>'[1]Ambos lados'!G31+'[2]Ambos lados'!G31+'[3]Ambos lados'!G31+'[4]Ambos lados'!G31+'[5]Ambos lados'!G31+'[6]Ambos lados'!G31+'[7]Ambos lados'!G31</f>
        <v>164</v>
      </c>
      <c r="H22" s="27">
        <f>'[1]Ambos lados'!H31+'[2]Ambos lados'!H31+'[3]Ambos lados'!H31+'[4]Ambos lados'!H31+'[5]Ambos lados'!H31+'[6]Ambos lados'!H31+'[7]Ambos lados'!H31</f>
        <v>16</v>
      </c>
      <c r="I22" s="27">
        <f>'[1]Ambos lados'!I31+'[2]Ambos lados'!I31+'[3]Ambos lados'!I31+'[4]Ambos lados'!I31+'[5]Ambos lados'!I31+'[6]Ambos lados'!I31+'[7]Ambos lados'!I31</f>
        <v>90</v>
      </c>
      <c r="J22" s="27">
        <f>'[1]Ambos lados'!J31+'[2]Ambos lados'!J31+'[3]Ambos lados'!J31+'[4]Ambos lados'!J31+'[5]Ambos lados'!J31+'[6]Ambos lados'!J31+'[7]Ambos lados'!J31</f>
        <v>167</v>
      </c>
      <c r="K22" s="27">
        <f>'[1]Ambos lados'!K31+'[2]Ambos lados'!K31+'[3]Ambos lados'!K31+'[4]Ambos lados'!K31+'[5]Ambos lados'!K31+'[6]Ambos lados'!K31+'[7]Ambos lados'!K31</f>
        <v>209</v>
      </c>
      <c r="L22" s="27">
        <f>'[1]Ambos lados'!L31+'[2]Ambos lados'!L31+'[3]Ambos lados'!L31+'[4]Ambos lados'!L31+'[5]Ambos lados'!L31+'[6]Ambos lados'!L31+'[7]Ambos lados'!L31</f>
        <v>57</v>
      </c>
      <c r="M22" s="27">
        <f>'[1]Ambos lados'!M31+'[2]Ambos lados'!M31+'[3]Ambos lados'!M31+'[4]Ambos lados'!M31+'[5]Ambos lados'!M31+'[6]Ambos lados'!M31+'[7]Ambos lados'!M31</f>
        <v>1</v>
      </c>
      <c r="N22" s="27">
        <f>'[1]Ambos lados'!N31+'[2]Ambos lados'!N31+'[3]Ambos lados'!N31+'[4]Ambos lados'!N31+'[5]Ambos lados'!N31+'[6]Ambos lados'!N31+'[7]Ambos lados'!N31</f>
        <v>0</v>
      </c>
      <c r="O22" s="27">
        <f>('[1]Ambos lados'!O31+'[2]Ambos lados'!O31+'[3]Ambos lados'!O31+'[4]Ambos lados'!O31+'[5]Ambos lados'!O31+'[6]Ambos lados'!O31+'[7]Ambos lados'!O31)/7</f>
        <v>176.71428571428572</v>
      </c>
      <c r="P22" s="28">
        <f t="shared" si="0"/>
        <v>4.7707200431948781E-2</v>
      </c>
    </row>
    <row r="23" spans="1:16" x14ac:dyDescent="0.25">
      <c r="A23" s="29" t="s">
        <v>79</v>
      </c>
      <c r="B23" s="27">
        <f>'[1]Ambos lados'!B32+'[2]Ambos lados'!B32+'[3]Ambos lados'!B32+'[4]Ambos lados'!B32+'[5]Ambos lados'!B32+'[6]Ambos lados'!B32+'[7]Ambos lados'!B32</f>
        <v>235</v>
      </c>
      <c r="C23" s="27">
        <f>'[1]Ambos lados'!C32+'[2]Ambos lados'!C32+'[3]Ambos lados'!C32+'[4]Ambos lados'!C32+'[5]Ambos lados'!C32+'[6]Ambos lados'!C32+'[7]Ambos lados'!C32</f>
        <v>41</v>
      </c>
      <c r="D23" s="27">
        <f>'[1]Ambos lados'!D32+'[2]Ambos lados'!D32+'[3]Ambos lados'!D32+'[4]Ambos lados'!D32+'[5]Ambos lados'!D32+'[6]Ambos lados'!D32+'[7]Ambos lados'!D32</f>
        <v>117</v>
      </c>
      <c r="E23" s="27">
        <f>'[1]Ambos lados'!E32+'[2]Ambos lados'!E32+'[3]Ambos lados'!E32+'[4]Ambos lados'!E32+'[5]Ambos lados'!E32+'[6]Ambos lados'!E32+'[7]Ambos lados'!E32</f>
        <v>0</v>
      </c>
      <c r="F23" s="27">
        <f>'[1]Ambos lados'!F32+'[2]Ambos lados'!F32+'[3]Ambos lados'!F32+'[4]Ambos lados'!F32+'[5]Ambos lados'!F32+'[6]Ambos lados'!F32+'[7]Ambos lados'!F32</f>
        <v>19</v>
      </c>
      <c r="G23" s="27">
        <f>'[1]Ambos lados'!G32+'[2]Ambos lados'!G32+'[3]Ambos lados'!G32+'[4]Ambos lados'!G32+'[5]Ambos lados'!G32+'[6]Ambos lados'!G32+'[7]Ambos lados'!G32</f>
        <v>150</v>
      </c>
      <c r="H23" s="27">
        <f>'[1]Ambos lados'!H32+'[2]Ambos lados'!H32+'[3]Ambos lados'!H32+'[4]Ambos lados'!H32+'[5]Ambos lados'!H32+'[6]Ambos lados'!H32+'[7]Ambos lados'!H32</f>
        <v>13</v>
      </c>
      <c r="I23" s="27">
        <f>'[1]Ambos lados'!I32+'[2]Ambos lados'!I32+'[3]Ambos lados'!I32+'[4]Ambos lados'!I32+'[5]Ambos lados'!I32+'[6]Ambos lados'!I32+'[7]Ambos lados'!I32</f>
        <v>88</v>
      </c>
      <c r="J23" s="27">
        <f>'[1]Ambos lados'!J32+'[2]Ambos lados'!J32+'[3]Ambos lados'!J32+'[4]Ambos lados'!J32+'[5]Ambos lados'!J32+'[6]Ambos lados'!J32+'[7]Ambos lados'!J32</f>
        <v>162</v>
      </c>
      <c r="K23" s="27">
        <f>'[1]Ambos lados'!K32+'[2]Ambos lados'!K32+'[3]Ambos lados'!K32+'[4]Ambos lados'!K32+'[5]Ambos lados'!K32+'[6]Ambos lados'!K32+'[7]Ambos lados'!K32</f>
        <v>194</v>
      </c>
      <c r="L23" s="27">
        <f>'[1]Ambos lados'!L32+'[2]Ambos lados'!L32+'[3]Ambos lados'!L32+'[4]Ambos lados'!L32+'[5]Ambos lados'!L32+'[6]Ambos lados'!L32+'[7]Ambos lados'!L32</f>
        <v>65</v>
      </c>
      <c r="M23" s="27">
        <f>'[1]Ambos lados'!M32+'[2]Ambos lados'!M32+'[3]Ambos lados'!M32+'[4]Ambos lados'!M32+'[5]Ambos lados'!M32+'[6]Ambos lados'!M32+'[7]Ambos lados'!M32</f>
        <v>3</v>
      </c>
      <c r="N23" s="27">
        <f>'[1]Ambos lados'!N32+'[2]Ambos lados'!N32+'[3]Ambos lados'!N32+'[4]Ambos lados'!N32+'[5]Ambos lados'!N32+'[6]Ambos lados'!N32+'[7]Ambos lados'!N32</f>
        <v>0</v>
      </c>
      <c r="O23" s="27">
        <f>('[1]Ambos lados'!O32+'[2]Ambos lados'!O32+'[3]Ambos lados'!O32+'[4]Ambos lados'!O32+'[5]Ambos lados'!O32+'[6]Ambos lados'!O32+'[7]Ambos lados'!O32)/7</f>
        <v>155.28571428571428</v>
      </c>
      <c r="P23" s="28">
        <f t="shared" si="0"/>
        <v>4.1922172085309878E-2</v>
      </c>
    </row>
    <row r="24" spans="1:16" x14ac:dyDescent="0.25">
      <c r="A24" s="29" t="s">
        <v>80</v>
      </c>
      <c r="B24" s="27">
        <f>'[1]Ambos lados'!B33+'[2]Ambos lados'!B33+'[3]Ambos lados'!B33+'[4]Ambos lados'!B33+'[5]Ambos lados'!B33+'[6]Ambos lados'!B33+'[7]Ambos lados'!B33</f>
        <v>189</v>
      </c>
      <c r="C24" s="27">
        <f>'[1]Ambos lados'!C33+'[2]Ambos lados'!C33+'[3]Ambos lados'!C33+'[4]Ambos lados'!C33+'[5]Ambos lados'!C33+'[6]Ambos lados'!C33+'[7]Ambos lados'!C33</f>
        <v>35</v>
      </c>
      <c r="D24" s="27">
        <f>'[1]Ambos lados'!D33+'[2]Ambos lados'!D33+'[3]Ambos lados'!D33+'[4]Ambos lados'!D33+'[5]Ambos lados'!D33+'[6]Ambos lados'!D33+'[7]Ambos lados'!D33</f>
        <v>131</v>
      </c>
      <c r="E24" s="27">
        <f>'[1]Ambos lados'!E33+'[2]Ambos lados'!E33+'[3]Ambos lados'!E33+'[4]Ambos lados'!E33+'[5]Ambos lados'!E33+'[6]Ambos lados'!E33+'[7]Ambos lados'!E33</f>
        <v>1</v>
      </c>
      <c r="F24" s="27">
        <f>'[1]Ambos lados'!F33+'[2]Ambos lados'!F33+'[3]Ambos lados'!F33+'[4]Ambos lados'!F33+'[5]Ambos lados'!F33+'[6]Ambos lados'!F33+'[7]Ambos lados'!F33</f>
        <v>26</v>
      </c>
      <c r="G24" s="27">
        <f>'[1]Ambos lados'!G33+'[2]Ambos lados'!G33+'[3]Ambos lados'!G33+'[4]Ambos lados'!G33+'[5]Ambos lados'!G33+'[6]Ambos lados'!G33+'[7]Ambos lados'!G33</f>
        <v>170</v>
      </c>
      <c r="H24" s="27">
        <f>'[1]Ambos lados'!H33+'[2]Ambos lados'!H33+'[3]Ambos lados'!H33+'[4]Ambos lados'!H33+'[5]Ambos lados'!H33+'[6]Ambos lados'!H33+'[7]Ambos lados'!H33</f>
        <v>9</v>
      </c>
      <c r="I24" s="27">
        <f>'[1]Ambos lados'!I33+'[2]Ambos lados'!I33+'[3]Ambos lados'!I33+'[4]Ambos lados'!I33+'[5]Ambos lados'!I33+'[6]Ambos lados'!I33+'[7]Ambos lados'!I33</f>
        <v>83</v>
      </c>
      <c r="J24" s="27">
        <f>'[1]Ambos lados'!J33+'[2]Ambos lados'!J33+'[3]Ambos lados'!J33+'[4]Ambos lados'!J33+'[5]Ambos lados'!J33+'[6]Ambos lados'!J33+'[7]Ambos lados'!J33</f>
        <v>160</v>
      </c>
      <c r="K24" s="27">
        <f>'[1]Ambos lados'!K33+'[2]Ambos lados'!K33+'[3]Ambos lados'!K33+'[4]Ambos lados'!K33+'[5]Ambos lados'!K33+'[6]Ambos lados'!K33+'[7]Ambos lados'!K33</f>
        <v>198</v>
      </c>
      <c r="L24" s="27">
        <f>'[1]Ambos lados'!L33+'[2]Ambos lados'!L33+'[3]Ambos lados'!L33+'[4]Ambos lados'!L33+'[5]Ambos lados'!L33+'[6]Ambos lados'!L33+'[7]Ambos lados'!L33</f>
        <v>51</v>
      </c>
      <c r="M24" s="27">
        <f>'[1]Ambos lados'!M33+'[2]Ambos lados'!M33+'[3]Ambos lados'!M33+'[4]Ambos lados'!M33+'[5]Ambos lados'!M33+'[6]Ambos lados'!M33+'[7]Ambos lados'!M33</f>
        <v>0</v>
      </c>
      <c r="N24" s="27">
        <f>'[1]Ambos lados'!N33+'[2]Ambos lados'!N33+'[3]Ambos lados'!N33+'[4]Ambos lados'!N33+'[5]Ambos lados'!N33+'[6]Ambos lados'!N33+'[7]Ambos lados'!N33</f>
        <v>0</v>
      </c>
      <c r="O24" s="27">
        <f>('[1]Ambos lados'!O33+'[2]Ambos lados'!O33+'[3]Ambos lados'!O33+'[4]Ambos lados'!O33+'[5]Ambos lados'!O33+'[6]Ambos lados'!O33+'[7]Ambos lados'!O33)/7</f>
        <v>150.42857142857142</v>
      </c>
      <c r="P24" s="28">
        <f t="shared" si="0"/>
        <v>4.0610898993405059E-2</v>
      </c>
    </row>
    <row r="25" spans="1:16" ht="15.75" thickBot="1" x14ac:dyDescent="0.3">
      <c r="A25" s="30" t="s">
        <v>81</v>
      </c>
      <c r="B25" s="27">
        <f>'[1]Ambos lados'!B34+'[2]Ambos lados'!B34+'[3]Ambos lados'!B34+'[4]Ambos lados'!B34+'[5]Ambos lados'!B34+'[6]Ambos lados'!B34+'[7]Ambos lados'!B34</f>
        <v>155</v>
      </c>
      <c r="C25" s="27">
        <f>'[1]Ambos lados'!C34+'[2]Ambos lados'!C34+'[3]Ambos lados'!C34+'[4]Ambos lados'!C34+'[5]Ambos lados'!C34+'[6]Ambos lados'!C34+'[7]Ambos lados'!C34</f>
        <v>35</v>
      </c>
      <c r="D25" s="27">
        <f>'[1]Ambos lados'!D34+'[2]Ambos lados'!D34+'[3]Ambos lados'!D34+'[4]Ambos lados'!D34+'[5]Ambos lados'!D34+'[6]Ambos lados'!D34+'[7]Ambos lados'!D34</f>
        <v>105</v>
      </c>
      <c r="E25" s="27">
        <f>'[1]Ambos lados'!E34+'[2]Ambos lados'!E34+'[3]Ambos lados'!E34+'[4]Ambos lados'!E34+'[5]Ambos lados'!E34+'[6]Ambos lados'!E34+'[7]Ambos lados'!E34</f>
        <v>1</v>
      </c>
      <c r="F25" s="27">
        <f>'[1]Ambos lados'!F34+'[2]Ambos lados'!F34+'[3]Ambos lados'!F34+'[4]Ambos lados'!F34+'[5]Ambos lados'!F34+'[6]Ambos lados'!F34+'[7]Ambos lados'!F34</f>
        <v>48</v>
      </c>
      <c r="G25" s="27">
        <f>'[1]Ambos lados'!G34+'[2]Ambos lados'!G34+'[3]Ambos lados'!G34+'[4]Ambos lados'!G34+'[5]Ambos lados'!G34+'[6]Ambos lados'!G34+'[7]Ambos lados'!G34</f>
        <v>189</v>
      </c>
      <c r="H25" s="27">
        <f>'[1]Ambos lados'!H34+'[2]Ambos lados'!H34+'[3]Ambos lados'!H34+'[4]Ambos lados'!H34+'[5]Ambos lados'!H34+'[6]Ambos lados'!H34+'[7]Ambos lados'!H34</f>
        <v>2</v>
      </c>
      <c r="I25" s="27">
        <f>'[1]Ambos lados'!I34+'[2]Ambos lados'!I34+'[3]Ambos lados'!I34+'[4]Ambos lados'!I34+'[5]Ambos lados'!I34+'[6]Ambos lados'!I34+'[7]Ambos lados'!I34</f>
        <v>78</v>
      </c>
      <c r="J25" s="27">
        <f>'[1]Ambos lados'!J34+'[2]Ambos lados'!J34+'[3]Ambos lados'!J34+'[4]Ambos lados'!J34+'[5]Ambos lados'!J34+'[6]Ambos lados'!J34+'[7]Ambos lados'!J34</f>
        <v>127</v>
      </c>
      <c r="K25" s="27">
        <f>'[1]Ambos lados'!K34+'[2]Ambos lados'!K34+'[3]Ambos lados'!K34+'[4]Ambos lados'!K34+'[5]Ambos lados'!K34+'[6]Ambos lados'!K34+'[7]Ambos lados'!K34</f>
        <v>197</v>
      </c>
      <c r="L25" s="27">
        <f>'[1]Ambos lados'!L34+'[2]Ambos lados'!L34+'[3]Ambos lados'!L34+'[4]Ambos lados'!L34+'[5]Ambos lados'!L34+'[6]Ambos lados'!L34+'[7]Ambos lados'!L34</f>
        <v>55</v>
      </c>
      <c r="M25" s="27">
        <f>'[1]Ambos lados'!M34+'[2]Ambos lados'!M34+'[3]Ambos lados'!M34+'[4]Ambos lados'!M34+'[5]Ambos lados'!M34+'[6]Ambos lados'!M34+'[7]Ambos lados'!M34</f>
        <v>1</v>
      </c>
      <c r="N25" s="27">
        <f>'[1]Ambos lados'!N34+'[2]Ambos lados'!N34+'[3]Ambos lados'!N34+'[4]Ambos lados'!N34+'[5]Ambos lados'!N34+'[6]Ambos lados'!N34+'[7]Ambos lados'!N34</f>
        <v>0</v>
      </c>
      <c r="O25" s="27">
        <f>('[1]Ambos lados'!O34+'[2]Ambos lados'!O34+'[3]Ambos lados'!O34+'[4]Ambos lados'!O34+'[5]Ambos lados'!O34+'[6]Ambos lados'!O34+'[7]Ambos lados'!O34)/7</f>
        <v>141.85714285714286</v>
      </c>
      <c r="P25" s="28">
        <f t="shared" si="0"/>
        <v>3.8296887654749506E-2</v>
      </c>
    </row>
    <row r="26" spans="1:16" ht="15.75" thickBot="1" x14ac:dyDescent="0.3">
      <c r="A26" s="31" t="s">
        <v>48</v>
      </c>
      <c r="B26" s="32">
        <f>(SUM(B2:B25))/7</f>
        <v>956.57142857142856</v>
      </c>
      <c r="C26" s="32">
        <f t="shared" ref="C26:N26" si="1">(SUM(C2:C25))/7</f>
        <v>168.42857142857142</v>
      </c>
      <c r="D26" s="32">
        <f t="shared" si="1"/>
        <v>531.28571428571433</v>
      </c>
      <c r="E26" s="32">
        <f t="shared" si="1"/>
        <v>3.2857142857142856</v>
      </c>
      <c r="F26" s="32">
        <f t="shared" si="1"/>
        <v>85</v>
      </c>
      <c r="G26" s="32">
        <f t="shared" si="1"/>
        <v>585.71428571428567</v>
      </c>
      <c r="H26" s="32">
        <f t="shared" si="1"/>
        <v>55.714285714285715</v>
      </c>
      <c r="I26" s="32">
        <f t="shared" si="1"/>
        <v>234.57142857142858</v>
      </c>
      <c r="J26" s="32">
        <f t="shared" si="1"/>
        <v>393</v>
      </c>
      <c r="K26" s="32">
        <f t="shared" si="1"/>
        <v>520.14285714285711</v>
      </c>
      <c r="L26" s="32">
        <f t="shared" si="1"/>
        <v>149.57142857142858</v>
      </c>
      <c r="M26" s="32">
        <f t="shared" si="1"/>
        <v>20.857142857142858</v>
      </c>
      <c r="N26" s="32">
        <f t="shared" si="1"/>
        <v>0</v>
      </c>
      <c r="O26" s="32">
        <f t="shared" ref="O26:P26" si="2">SUM(O2:O25)</f>
        <v>3704.1428571428573</v>
      </c>
      <c r="P26" s="33">
        <f t="shared" si="2"/>
        <v>0.99999999999999967</v>
      </c>
    </row>
    <row r="27" spans="1:16" ht="16.5" thickTop="1" thickBot="1" x14ac:dyDescent="0.3">
      <c r="A27" s="34" t="s">
        <v>82</v>
      </c>
      <c r="B27" s="35">
        <f>B26/$O$26</f>
        <v>0.25824366539396043</v>
      </c>
      <c r="C27" s="35">
        <f t="shared" ref="C27:O27" si="3">C26/$O$26</f>
        <v>4.5470322804581735E-2</v>
      </c>
      <c r="D27" s="35">
        <f t="shared" si="3"/>
        <v>0.14343013614100042</v>
      </c>
      <c r="E27" s="35">
        <f t="shared" si="3"/>
        <v>8.8703767981796432E-4</v>
      </c>
      <c r="F27" s="35">
        <f t="shared" si="3"/>
        <v>2.2947279108334297E-2</v>
      </c>
      <c r="G27" s="35">
        <f t="shared" si="3"/>
        <v>0.15812410814146322</v>
      </c>
      <c r="H27" s="35">
        <f t="shared" si="3"/>
        <v>1.5041073701261136E-2</v>
      </c>
      <c r="I27" s="35">
        <f t="shared" si="3"/>
        <v>6.332677696787381E-2</v>
      </c>
      <c r="J27" s="35">
        <f t="shared" si="3"/>
        <v>0.10609741987735739</v>
      </c>
      <c r="K27" s="35">
        <f t="shared" si="3"/>
        <v>0.14042192140074819</v>
      </c>
      <c r="L27" s="35">
        <f t="shared" si="3"/>
        <v>4.0379497859539516E-2</v>
      </c>
      <c r="M27" s="35">
        <f t="shared" si="3"/>
        <v>5.6307609240618612E-3</v>
      </c>
      <c r="N27" s="35">
        <f t="shared" si="3"/>
        <v>0</v>
      </c>
      <c r="O27" s="35">
        <f t="shared" si="3"/>
        <v>1</v>
      </c>
      <c r="P27" s="36"/>
    </row>
    <row r="28" spans="1:16" ht="15.75" thickTop="1" x14ac:dyDescent="0.25"/>
    <row r="29" spans="1:16" x14ac:dyDescent="0.25">
      <c r="A29" t="s">
        <v>112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8"/>
  <sheetViews>
    <sheetView workbookViewId="0">
      <selection activeCell="C47" sqref="C47"/>
    </sheetView>
  </sheetViews>
  <sheetFormatPr baseColWidth="10" defaultColWidth="11.5703125" defaultRowHeight="15" x14ac:dyDescent="0.25"/>
  <cols>
    <col min="2" max="2" width="13.5703125" bestFit="1" customWidth="1"/>
  </cols>
  <sheetData>
    <row r="1" spans="2:3" ht="15.75" thickBot="1" x14ac:dyDescent="0.3">
      <c r="B1" s="39" t="s">
        <v>84</v>
      </c>
      <c r="C1" s="40" t="s">
        <v>0</v>
      </c>
    </row>
    <row r="2" spans="2:3" ht="15.75" thickBot="1" x14ac:dyDescent="0.3">
      <c r="B2" s="41">
        <v>2007</v>
      </c>
      <c r="C2" s="42">
        <v>220</v>
      </c>
    </row>
    <row r="3" spans="2:3" ht="15.75" thickBot="1" x14ac:dyDescent="0.3">
      <c r="B3" s="41">
        <v>2008</v>
      </c>
      <c r="C3" s="42">
        <v>350</v>
      </c>
    </row>
    <row r="4" spans="2:3" ht="15.75" thickBot="1" x14ac:dyDescent="0.3">
      <c r="B4" s="41">
        <v>2009</v>
      </c>
      <c r="C4" s="42">
        <v>388</v>
      </c>
    </row>
    <row r="5" spans="2:3" ht="15.75" thickBot="1" x14ac:dyDescent="0.3">
      <c r="B5" s="41">
        <v>2010</v>
      </c>
      <c r="C5" s="42">
        <v>390</v>
      </c>
    </row>
    <row r="6" spans="2:3" ht="15.75" thickBot="1" x14ac:dyDescent="0.3">
      <c r="B6" s="41">
        <v>2011</v>
      </c>
      <c r="C6" s="42">
        <v>400</v>
      </c>
    </row>
    <row r="7" spans="2:3" ht="15.75" thickBot="1" x14ac:dyDescent="0.3">
      <c r="B7" s="41">
        <v>2012</v>
      </c>
      <c r="C7" s="42">
        <v>410</v>
      </c>
    </row>
    <row r="8" spans="2:3" ht="15.75" thickBot="1" x14ac:dyDescent="0.3">
      <c r="B8" s="41">
        <v>2013</v>
      </c>
      <c r="C8" s="42">
        <v>450</v>
      </c>
    </row>
    <row r="9" spans="2:3" ht="15.75" thickBot="1" x14ac:dyDescent="0.3">
      <c r="B9" s="41">
        <v>2014</v>
      </c>
      <c r="C9" s="42">
        <v>468</v>
      </c>
    </row>
    <row r="10" spans="2:3" ht="15.75" thickBot="1" x14ac:dyDescent="0.3">
      <c r="B10" s="41">
        <v>2015</v>
      </c>
      <c r="C10" s="42">
        <v>480</v>
      </c>
    </row>
    <row r="11" spans="2:3" ht="15.75" thickBot="1" x14ac:dyDescent="0.3">
      <c r="B11" s="41">
        <v>2016</v>
      </c>
      <c r="C11" s="82">
        <v>570</v>
      </c>
    </row>
    <row r="16" spans="2:3" x14ac:dyDescent="0.25">
      <c r="B16" s="69"/>
    </row>
    <row r="19" spans="2:3" x14ac:dyDescent="0.25">
      <c r="C19" t="s">
        <v>85</v>
      </c>
    </row>
    <row r="24" spans="2:3" x14ac:dyDescent="0.25">
      <c r="B24" s="78"/>
    </row>
    <row r="25" spans="2:3" x14ac:dyDescent="0.25">
      <c r="B25" s="78"/>
    </row>
    <row r="26" spans="2:3" x14ac:dyDescent="0.25">
      <c r="B26" s="78"/>
    </row>
    <row r="27" spans="2:3" x14ac:dyDescent="0.25">
      <c r="B27" s="78"/>
    </row>
    <row r="28" spans="2:3" x14ac:dyDescent="0.25">
      <c r="B28" s="78"/>
    </row>
    <row r="29" spans="2:3" x14ac:dyDescent="0.25">
      <c r="B29" s="78"/>
    </row>
    <row r="30" spans="2:3" x14ac:dyDescent="0.25">
      <c r="B30" s="78"/>
    </row>
    <row r="31" spans="2:3" x14ac:dyDescent="0.25">
      <c r="B31" s="78"/>
    </row>
    <row r="32" spans="2:3" x14ac:dyDescent="0.25">
      <c r="B32" s="78"/>
    </row>
    <row r="33" spans="1:6" x14ac:dyDescent="0.25">
      <c r="B33" s="78"/>
    </row>
    <row r="34" spans="1:6" x14ac:dyDescent="0.25">
      <c r="B34" s="78"/>
    </row>
    <row r="35" spans="1:6" x14ac:dyDescent="0.25">
      <c r="B35" s="78"/>
      <c r="D35" s="70"/>
    </row>
    <row r="36" spans="1:6" x14ac:dyDescent="0.25">
      <c r="B36" s="78"/>
    </row>
    <row r="37" spans="1:6" x14ac:dyDescent="0.25">
      <c r="A37" s="83"/>
      <c r="B37" s="102"/>
    </row>
    <row r="38" spans="1:6" x14ac:dyDescent="0.25">
      <c r="B38" s="78"/>
    </row>
    <row r="39" spans="1:6" x14ac:dyDescent="0.25">
      <c r="B39" s="78"/>
      <c r="D39" s="70"/>
      <c r="F39" s="70"/>
    </row>
    <row r="40" spans="1:6" x14ac:dyDescent="0.25">
      <c r="B40" s="78"/>
    </row>
    <row r="41" spans="1:6" x14ac:dyDescent="0.25">
      <c r="B41" s="78"/>
    </row>
    <row r="42" spans="1:6" x14ac:dyDescent="0.25">
      <c r="B42" s="78"/>
    </row>
    <row r="43" spans="1:6" x14ac:dyDescent="0.25">
      <c r="B43" s="78"/>
    </row>
    <row r="44" spans="1:6" x14ac:dyDescent="0.25">
      <c r="B44" s="78"/>
    </row>
    <row r="45" spans="1:6" x14ac:dyDescent="0.25">
      <c r="B45" s="78"/>
    </row>
    <row r="46" spans="1:6" x14ac:dyDescent="0.25">
      <c r="B46" s="78"/>
    </row>
    <row r="47" spans="1:6" x14ac:dyDescent="0.25">
      <c r="B47" s="78"/>
    </row>
    <row r="48" spans="1:6" x14ac:dyDescent="0.25">
      <c r="B48" s="78"/>
    </row>
    <row r="49" spans="1:3" x14ac:dyDescent="0.25">
      <c r="B49" s="78"/>
    </row>
    <row r="50" spans="1:3" x14ac:dyDescent="0.25">
      <c r="B50" s="78"/>
    </row>
    <row r="51" spans="1:3" x14ac:dyDescent="0.25">
      <c r="B51" s="78"/>
    </row>
    <row r="52" spans="1:3" x14ac:dyDescent="0.25">
      <c r="A52" s="80"/>
      <c r="B52" s="88"/>
      <c r="C52">
        <v>15</v>
      </c>
    </row>
    <row r="53" spans="1:3" x14ac:dyDescent="0.25">
      <c r="B53" s="78"/>
    </row>
    <row r="54" spans="1:3" x14ac:dyDescent="0.25">
      <c r="B54" s="78"/>
    </row>
    <row r="55" spans="1:3" x14ac:dyDescent="0.25">
      <c r="B55" s="78"/>
    </row>
    <row r="56" spans="1:3" x14ac:dyDescent="0.25">
      <c r="B56" s="78"/>
    </row>
    <row r="57" spans="1:3" x14ac:dyDescent="0.25">
      <c r="A57" s="79"/>
      <c r="B57" s="103"/>
      <c r="C57">
        <v>20</v>
      </c>
    </row>
    <row r="58" spans="1:3" x14ac:dyDescent="0.25">
      <c r="B58" s="78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topLeftCell="A10" zoomScaleNormal="100" workbookViewId="0">
      <selection activeCell="C4" sqref="C4:C5"/>
    </sheetView>
  </sheetViews>
  <sheetFormatPr baseColWidth="10" defaultColWidth="11.42578125" defaultRowHeight="15" x14ac:dyDescent="0.25"/>
  <cols>
    <col min="1" max="2" width="11.42578125" style="37"/>
    <col min="3" max="3" width="12.5703125" style="37" bestFit="1" customWidth="1"/>
    <col min="4" max="16384" width="11.42578125" style="37"/>
  </cols>
  <sheetData>
    <row r="1" spans="1:15" x14ac:dyDescent="0.25">
      <c r="A1" s="43"/>
      <c r="B1" s="43"/>
      <c r="C1" s="108" t="s">
        <v>34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9" t="s">
        <v>0</v>
      </c>
    </row>
    <row r="2" spans="1:15" x14ac:dyDescent="0.25">
      <c r="A2" s="111" t="s">
        <v>1</v>
      </c>
      <c r="B2" s="44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5" t="s">
        <v>8</v>
      </c>
      <c r="I2" s="45" t="s">
        <v>9</v>
      </c>
      <c r="J2" s="45" t="s">
        <v>10</v>
      </c>
      <c r="K2" s="45" t="s">
        <v>11</v>
      </c>
      <c r="L2" s="45" t="s">
        <v>12</v>
      </c>
      <c r="M2" s="45" t="s">
        <v>13</v>
      </c>
      <c r="N2" s="45" t="s">
        <v>14</v>
      </c>
      <c r="O2" s="110"/>
    </row>
    <row r="3" spans="1:15" x14ac:dyDescent="0.25">
      <c r="A3" s="111"/>
      <c r="B3" s="44" t="s">
        <v>15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110"/>
    </row>
    <row r="4" spans="1:15" x14ac:dyDescent="0.25">
      <c r="A4" s="111"/>
      <c r="B4" s="46" t="s">
        <v>16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110"/>
    </row>
    <row r="5" spans="1:15" x14ac:dyDescent="0.25">
      <c r="A5" s="111"/>
      <c r="B5" s="47" t="s">
        <v>86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110"/>
    </row>
    <row r="6" spans="1:15" x14ac:dyDescent="0.25">
      <c r="A6" s="104">
        <v>2020</v>
      </c>
      <c r="B6" s="68" t="s">
        <v>91</v>
      </c>
      <c r="C6" s="7">
        <f>C3</f>
        <v>0</v>
      </c>
      <c r="D6" s="7">
        <f t="shared" ref="D6:N6" si="0">D3</f>
        <v>0</v>
      </c>
      <c r="E6" s="7">
        <f t="shared" si="0"/>
        <v>0</v>
      </c>
      <c r="F6" s="7">
        <f t="shared" si="0"/>
        <v>0</v>
      </c>
      <c r="G6" s="7">
        <f t="shared" si="0"/>
        <v>0</v>
      </c>
      <c r="H6" s="7">
        <f t="shared" si="0"/>
        <v>0</v>
      </c>
      <c r="I6" s="7">
        <f t="shared" si="0"/>
        <v>0</v>
      </c>
      <c r="J6" s="7">
        <f t="shared" si="0"/>
        <v>0</v>
      </c>
      <c r="K6" s="7">
        <f t="shared" si="0"/>
        <v>0</v>
      </c>
      <c r="L6" s="7">
        <f t="shared" si="0"/>
        <v>0</v>
      </c>
      <c r="M6" s="7">
        <f t="shared" si="0"/>
        <v>0</v>
      </c>
      <c r="N6" s="7">
        <f t="shared" si="0"/>
        <v>0</v>
      </c>
      <c r="O6" s="66">
        <f>SUM(C6:N6)</f>
        <v>0</v>
      </c>
    </row>
    <row r="7" spans="1:15" x14ac:dyDescent="0.25">
      <c r="A7" s="104">
        <f>+A6+1</f>
        <v>2021</v>
      </c>
      <c r="B7" s="8" t="s">
        <v>110</v>
      </c>
      <c r="C7" s="8">
        <f>(C3*C4*C5)+C6</f>
        <v>0</v>
      </c>
      <c r="D7" s="8">
        <f t="shared" ref="D7:N7" si="1">(D3*D4*D5)+D6</f>
        <v>0</v>
      </c>
      <c r="E7" s="8">
        <f t="shared" si="1"/>
        <v>0</v>
      </c>
      <c r="F7" s="8">
        <f t="shared" si="1"/>
        <v>0</v>
      </c>
      <c r="G7" s="8">
        <f t="shared" si="1"/>
        <v>0</v>
      </c>
      <c r="H7" s="8">
        <f t="shared" si="1"/>
        <v>0</v>
      </c>
      <c r="I7" s="8">
        <f t="shared" si="1"/>
        <v>0</v>
      </c>
      <c r="J7" s="8">
        <f t="shared" si="1"/>
        <v>0</v>
      </c>
      <c r="K7" s="8">
        <f t="shared" si="1"/>
        <v>0</v>
      </c>
      <c r="L7" s="8">
        <f t="shared" si="1"/>
        <v>0</v>
      </c>
      <c r="M7" s="8">
        <f t="shared" si="1"/>
        <v>0</v>
      </c>
      <c r="N7" s="8">
        <f t="shared" si="1"/>
        <v>0</v>
      </c>
      <c r="O7" s="66">
        <f t="shared" ref="O7:O30" si="2">SUM(C7:N7)</f>
        <v>0</v>
      </c>
    </row>
    <row r="8" spans="1:15" x14ac:dyDescent="0.25">
      <c r="A8" s="104">
        <f t="shared" ref="A8:A32" si="3">+A7+1</f>
        <v>2022</v>
      </c>
      <c r="B8" s="8" t="s">
        <v>18</v>
      </c>
      <c r="C8" s="7">
        <f>(C$3*C$4*C$5)+C7</f>
        <v>0</v>
      </c>
      <c r="D8" s="7">
        <f t="shared" ref="D8:N23" si="4">(D$3*D$4*D$5)+D7</f>
        <v>0</v>
      </c>
      <c r="E8" s="7">
        <f t="shared" si="4"/>
        <v>0</v>
      </c>
      <c r="F8" s="7">
        <f t="shared" si="4"/>
        <v>0</v>
      </c>
      <c r="G8" s="7">
        <f t="shared" si="4"/>
        <v>0</v>
      </c>
      <c r="H8" s="7">
        <f t="shared" si="4"/>
        <v>0</v>
      </c>
      <c r="I8" s="7">
        <f t="shared" si="4"/>
        <v>0</v>
      </c>
      <c r="J8" s="7">
        <f t="shared" si="4"/>
        <v>0</v>
      </c>
      <c r="K8" s="7">
        <f t="shared" si="4"/>
        <v>0</v>
      </c>
      <c r="L8" s="7">
        <f t="shared" si="4"/>
        <v>0</v>
      </c>
      <c r="M8" s="7">
        <f t="shared" si="4"/>
        <v>0</v>
      </c>
      <c r="N8" s="7">
        <f t="shared" si="4"/>
        <v>0</v>
      </c>
      <c r="O8" s="66">
        <f t="shared" si="2"/>
        <v>0</v>
      </c>
    </row>
    <row r="9" spans="1:15" x14ac:dyDescent="0.25">
      <c r="A9" s="104">
        <f t="shared" si="3"/>
        <v>2023</v>
      </c>
      <c r="B9" s="112" t="s">
        <v>19</v>
      </c>
      <c r="C9" s="7">
        <f t="shared" ref="C9:C32" si="5">(C$3*C$4*C$5)+C8</f>
        <v>0</v>
      </c>
      <c r="D9" s="7">
        <f t="shared" si="4"/>
        <v>0</v>
      </c>
      <c r="E9" s="7">
        <f t="shared" si="4"/>
        <v>0</v>
      </c>
      <c r="F9" s="7">
        <f t="shared" si="4"/>
        <v>0</v>
      </c>
      <c r="G9" s="7">
        <f t="shared" si="4"/>
        <v>0</v>
      </c>
      <c r="H9" s="7">
        <f t="shared" si="4"/>
        <v>0</v>
      </c>
      <c r="I9" s="7">
        <f t="shared" si="4"/>
        <v>0</v>
      </c>
      <c r="J9" s="7">
        <f t="shared" si="4"/>
        <v>0</v>
      </c>
      <c r="K9" s="7">
        <f t="shared" si="4"/>
        <v>0</v>
      </c>
      <c r="L9" s="7">
        <f t="shared" si="4"/>
        <v>0</v>
      </c>
      <c r="M9" s="7">
        <f t="shared" si="4"/>
        <v>0</v>
      </c>
      <c r="N9" s="7">
        <f t="shared" si="4"/>
        <v>0</v>
      </c>
      <c r="O9" s="66">
        <f t="shared" si="2"/>
        <v>0</v>
      </c>
    </row>
    <row r="10" spans="1:15" x14ac:dyDescent="0.25">
      <c r="A10" s="104">
        <f t="shared" si="3"/>
        <v>2024</v>
      </c>
      <c r="B10" s="112"/>
      <c r="C10" s="7">
        <f t="shared" si="5"/>
        <v>0</v>
      </c>
      <c r="D10" s="7">
        <f t="shared" si="4"/>
        <v>0</v>
      </c>
      <c r="E10" s="7">
        <f t="shared" si="4"/>
        <v>0</v>
      </c>
      <c r="F10" s="7">
        <f t="shared" si="4"/>
        <v>0</v>
      </c>
      <c r="G10" s="7">
        <f t="shared" si="4"/>
        <v>0</v>
      </c>
      <c r="H10" s="7">
        <f t="shared" si="4"/>
        <v>0</v>
      </c>
      <c r="I10" s="7">
        <f t="shared" si="4"/>
        <v>0</v>
      </c>
      <c r="J10" s="7">
        <f t="shared" si="4"/>
        <v>0</v>
      </c>
      <c r="K10" s="7">
        <f t="shared" si="4"/>
        <v>0</v>
      </c>
      <c r="L10" s="7">
        <f t="shared" si="4"/>
        <v>0</v>
      </c>
      <c r="M10" s="7">
        <f t="shared" si="4"/>
        <v>0</v>
      </c>
      <c r="N10" s="7">
        <f t="shared" si="4"/>
        <v>0</v>
      </c>
      <c r="O10" s="66">
        <f t="shared" si="2"/>
        <v>0</v>
      </c>
    </row>
    <row r="11" spans="1:15" x14ac:dyDescent="0.25">
      <c r="A11" s="104">
        <f t="shared" si="3"/>
        <v>2025</v>
      </c>
      <c r="B11" s="112"/>
      <c r="C11" s="7">
        <f t="shared" si="5"/>
        <v>0</v>
      </c>
      <c r="D11" s="7">
        <f t="shared" si="4"/>
        <v>0</v>
      </c>
      <c r="E11" s="7">
        <f t="shared" si="4"/>
        <v>0</v>
      </c>
      <c r="F11" s="7">
        <f t="shared" si="4"/>
        <v>0</v>
      </c>
      <c r="G11" s="7">
        <f t="shared" si="4"/>
        <v>0</v>
      </c>
      <c r="H11" s="7">
        <f t="shared" si="4"/>
        <v>0</v>
      </c>
      <c r="I11" s="7">
        <f t="shared" si="4"/>
        <v>0</v>
      </c>
      <c r="J11" s="7">
        <f t="shared" si="4"/>
        <v>0</v>
      </c>
      <c r="K11" s="7">
        <f t="shared" si="4"/>
        <v>0</v>
      </c>
      <c r="L11" s="7">
        <f t="shared" si="4"/>
        <v>0</v>
      </c>
      <c r="M11" s="7">
        <f t="shared" si="4"/>
        <v>0</v>
      </c>
      <c r="N11" s="7">
        <f t="shared" si="4"/>
        <v>0</v>
      </c>
      <c r="O11" s="66">
        <f t="shared" si="2"/>
        <v>0</v>
      </c>
    </row>
    <row r="12" spans="1:15" ht="14.45" customHeight="1" x14ac:dyDescent="0.25">
      <c r="A12" s="8">
        <f t="shared" si="3"/>
        <v>2026</v>
      </c>
      <c r="B12" s="113" t="s">
        <v>20</v>
      </c>
      <c r="C12" s="7">
        <f t="shared" si="5"/>
        <v>0</v>
      </c>
      <c r="D12" s="7">
        <f t="shared" si="4"/>
        <v>0</v>
      </c>
      <c r="E12" s="7">
        <f t="shared" si="4"/>
        <v>0</v>
      </c>
      <c r="F12" s="7">
        <f t="shared" si="4"/>
        <v>0</v>
      </c>
      <c r="G12" s="7">
        <f t="shared" si="4"/>
        <v>0</v>
      </c>
      <c r="H12" s="7">
        <f t="shared" si="4"/>
        <v>0</v>
      </c>
      <c r="I12" s="7">
        <f t="shared" si="4"/>
        <v>0</v>
      </c>
      <c r="J12" s="7">
        <f t="shared" si="4"/>
        <v>0</v>
      </c>
      <c r="K12" s="7">
        <f t="shared" si="4"/>
        <v>0</v>
      </c>
      <c r="L12" s="7">
        <f t="shared" si="4"/>
        <v>0</v>
      </c>
      <c r="M12" s="7">
        <f t="shared" si="4"/>
        <v>0</v>
      </c>
      <c r="N12" s="7">
        <f t="shared" si="4"/>
        <v>0</v>
      </c>
      <c r="O12" s="66">
        <f t="shared" si="2"/>
        <v>0</v>
      </c>
    </row>
    <row r="13" spans="1:15" x14ac:dyDescent="0.25">
      <c r="A13" s="8">
        <f t="shared" si="3"/>
        <v>2027</v>
      </c>
      <c r="B13" s="114"/>
      <c r="C13" s="7">
        <f t="shared" si="5"/>
        <v>0</v>
      </c>
      <c r="D13" s="7">
        <f t="shared" si="4"/>
        <v>0</v>
      </c>
      <c r="E13" s="7">
        <f t="shared" si="4"/>
        <v>0</v>
      </c>
      <c r="F13" s="7">
        <f t="shared" si="4"/>
        <v>0</v>
      </c>
      <c r="G13" s="7">
        <f t="shared" si="4"/>
        <v>0</v>
      </c>
      <c r="H13" s="7">
        <f t="shared" si="4"/>
        <v>0</v>
      </c>
      <c r="I13" s="7">
        <f t="shared" si="4"/>
        <v>0</v>
      </c>
      <c r="J13" s="7">
        <f t="shared" si="4"/>
        <v>0</v>
      </c>
      <c r="K13" s="7">
        <f t="shared" si="4"/>
        <v>0</v>
      </c>
      <c r="L13" s="7">
        <f t="shared" si="4"/>
        <v>0</v>
      </c>
      <c r="M13" s="7">
        <f t="shared" si="4"/>
        <v>0</v>
      </c>
      <c r="N13" s="7">
        <f t="shared" si="4"/>
        <v>0</v>
      </c>
      <c r="O13" s="66">
        <f t="shared" si="2"/>
        <v>0</v>
      </c>
    </row>
    <row r="14" spans="1:15" x14ac:dyDescent="0.25">
      <c r="A14" s="8">
        <f t="shared" si="3"/>
        <v>2028</v>
      </c>
      <c r="B14" s="114"/>
      <c r="C14" s="7">
        <f t="shared" si="5"/>
        <v>0</v>
      </c>
      <c r="D14" s="7">
        <f t="shared" si="4"/>
        <v>0</v>
      </c>
      <c r="E14" s="7">
        <f t="shared" si="4"/>
        <v>0</v>
      </c>
      <c r="F14" s="7">
        <f t="shared" si="4"/>
        <v>0</v>
      </c>
      <c r="G14" s="7">
        <f t="shared" si="4"/>
        <v>0</v>
      </c>
      <c r="H14" s="7">
        <f t="shared" si="4"/>
        <v>0</v>
      </c>
      <c r="I14" s="7">
        <f t="shared" si="4"/>
        <v>0</v>
      </c>
      <c r="J14" s="7">
        <f t="shared" si="4"/>
        <v>0</v>
      </c>
      <c r="K14" s="7">
        <f t="shared" si="4"/>
        <v>0</v>
      </c>
      <c r="L14" s="7">
        <f t="shared" si="4"/>
        <v>0</v>
      </c>
      <c r="M14" s="7">
        <f t="shared" si="4"/>
        <v>0</v>
      </c>
      <c r="N14" s="7">
        <f t="shared" si="4"/>
        <v>0</v>
      </c>
      <c r="O14" s="66">
        <f t="shared" si="2"/>
        <v>0</v>
      </c>
    </row>
    <row r="15" spans="1:15" x14ac:dyDescent="0.25">
      <c r="A15" s="8">
        <f t="shared" si="3"/>
        <v>2029</v>
      </c>
      <c r="B15" s="114"/>
      <c r="C15" s="7">
        <f t="shared" si="5"/>
        <v>0</v>
      </c>
      <c r="D15" s="7">
        <f t="shared" si="4"/>
        <v>0</v>
      </c>
      <c r="E15" s="7">
        <f t="shared" si="4"/>
        <v>0</v>
      </c>
      <c r="F15" s="7">
        <f t="shared" si="4"/>
        <v>0</v>
      </c>
      <c r="G15" s="7">
        <f t="shared" si="4"/>
        <v>0</v>
      </c>
      <c r="H15" s="7">
        <f t="shared" si="4"/>
        <v>0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0</v>
      </c>
      <c r="N15" s="7">
        <f t="shared" si="4"/>
        <v>0</v>
      </c>
      <c r="O15" s="66">
        <f t="shared" si="2"/>
        <v>0</v>
      </c>
    </row>
    <row r="16" spans="1:15" x14ac:dyDescent="0.25">
      <c r="A16" s="8">
        <f t="shared" si="3"/>
        <v>2030</v>
      </c>
      <c r="B16" s="114"/>
      <c r="C16" s="7">
        <f t="shared" si="5"/>
        <v>0</v>
      </c>
      <c r="D16" s="7">
        <f t="shared" si="4"/>
        <v>0</v>
      </c>
      <c r="E16" s="7">
        <f t="shared" si="4"/>
        <v>0</v>
      </c>
      <c r="F16" s="7">
        <f t="shared" si="4"/>
        <v>0</v>
      </c>
      <c r="G16" s="7">
        <f t="shared" si="4"/>
        <v>0</v>
      </c>
      <c r="H16" s="7">
        <f t="shared" si="4"/>
        <v>0</v>
      </c>
      <c r="I16" s="7">
        <f t="shared" si="4"/>
        <v>0</v>
      </c>
      <c r="J16" s="7">
        <f t="shared" si="4"/>
        <v>0</v>
      </c>
      <c r="K16" s="7">
        <f t="shared" si="4"/>
        <v>0</v>
      </c>
      <c r="L16" s="7">
        <f t="shared" si="4"/>
        <v>0</v>
      </c>
      <c r="M16" s="7">
        <f t="shared" si="4"/>
        <v>0</v>
      </c>
      <c r="N16" s="7">
        <f t="shared" si="4"/>
        <v>0</v>
      </c>
      <c r="O16" s="66">
        <f t="shared" si="2"/>
        <v>0</v>
      </c>
    </row>
    <row r="17" spans="1:15" x14ac:dyDescent="0.25">
      <c r="A17" s="8">
        <f t="shared" si="3"/>
        <v>2031</v>
      </c>
      <c r="B17" s="114"/>
      <c r="C17" s="7">
        <f t="shared" si="5"/>
        <v>0</v>
      </c>
      <c r="D17" s="7">
        <f t="shared" si="4"/>
        <v>0</v>
      </c>
      <c r="E17" s="7">
        <f t="shared" si="4"/>
        <v>0</v>
      </c>
      <c r="F17" s="7">
        <f t="shared" si="4"/>
        <v>0</v>
      </c>
      <c r="G17" s="7">
        <f t="shared" si="4"/>
        <v>0</v>
      </c>
      <c r="H17" s="7">
        <f t="shared" si="4"/>
        <v>0</v>
      </c>
      <c r="I17" s="7">
        <f t="shared" si="4"/>
        <v>0</v>
      </c>
      <c r="J17" s="7">
        <f t="shared" si="4"/>
        <v>0</v>
      </c>
      <c r="K17" s="7">
        <f t="shared" si="4"/>
        <v>0</v>
      </c>
      <c r="L17" s="7">
        <f t="shared" si="4"/>
        <v>0</v>
      </c>
      <c r="M17" s="7">
        <f t="shared" si="4"/>
        <v>0</v>
      </c>
      <c r="N17" s="7">
        <f t="shared" si="4"/>
        <v>0</v>
      </c>
      <c r="O17" s="66">
        <f t="shared" si="2"/>
        <v>0</v>
      </c>
    </row>
    <row r="18" spans="1:15" x14ac:dyDescent="0.25">
      <c r="A18" s="8">
        <f t="shared" si="3"/>
        <v>2032</v>
      </c>
      <c r="B18" s="114"/>
      <c r="C18" s="7">
        <f t="shared" si="5"/>
        <v>0</v>
      </c>
      <c r="D18" s="7">
        <f t="shared" si="4"/>
        <v>0</v>
      </c>
      <c r="E18" s="7">
        <f t="shared" si="4"/>
        <v>0</v>
      </c>
      <c r="F18" s="7">
        <f t="shared" si="4"/>
        <v>0</v>
      </c>
      <c r="G18" s="7">
        <f t="shared" si="4"/>
        <v>0</v>
      </c>
      <c r="H18" s="7">
        <f t="shared" si="4"/>
        <v>0</v>
      </c>
      <c r="I18" s="7">
        <f t="shared" si="4"/>
        <v>0</v>
      </c>
      <c r="J18" s="7">
        <f t="shared" si="4"/>
        <v>0</v>
      </c>
      <c r="K18" s="7">
        <f t="shared" si="4"/>
        <v>0</v>
      </c>
      <c r="L18" s="7">
        <f t="shared" si="4"/>
        <v>0</v>
      </c>
      <c r="M18" s="7">
        <f t="shared" si="4"/>
        <v>0</v>
      </c>
      <c r="N18" s="7">
        <f t="shared" si="4"/>
        <v>0</v>
      </c>
      <c r="O18" s="66">
        <f t="shared" si="2"/>
        <v>0</v>
      </c>
    </row>
    <row r="19" spans="1:15" x14ac:dyDescent="0.25">
      <c r="A19" s="8">
        <f t="shared" si="3"/>
        <v>2033</v>
      </c>
      <c r="B19" s="114"/>
      <c r="C19" s="7">
        <f t="shared" si="5"/>
        <v>0</v>
      </c>
      <c r="D19" s="7">
        <f t="shared" si="4"/>
        <v>0</v>
      </c>
      <c r="E19" s="7">
        <f t="shared" si="4"/>
        <v>0</v>
      </c>
      <c r="F19" s="7">
        <f t="shared" si="4"/>
        <v>0</v>
      </c>
      <c r="G19" s="7">
        <f t="shared" si="4"/>
        <v>0</v>
      </c>
      <c r="H19" s="7">
        <f t="shared" si="4"/>
        <v>0</v>
      </c>
      <c r="I19" s="7">
        <f t="shared" si="4"/>
        <v>0</v>
      </c>
      <c r="J19" s="7">
        <f t="shared" si="4"/>
        <v>0</v>
      </c>
      <c r="K19" s="7">
        <f t="shared" si="4"/>
        <v>0</v>
      </c>
      <c r="L19" s="7">
        <f t="shared" si="4"/>
        <v>0</v>
      </c>
      <c r="M19" s="7">
        <f t="shared" si="4"/>
        <v>0</v>
      </c>
      <c r="N19" s="7">
        <f t="shared" si="4"/>
        <v>0</v>
      </c>
      <c r="O19" s="66">
        <f t="shared" si="2"/>
        <v>0</v>
      </c>
    </row>
    <row r="20" spans="1:15" x14ac:dyDescent="0.25">
      <c r="A20" s="8">
        <f t="shared" si="3"/>
        <v>2034</v>
      </c>
      <c r="B20" s="114"/>
      <c r="C20" s="7">
        <f t="shared" si="5"/>
        <v>0</v>
      </c>
      <c r="D20" s="7">
        <f t="shared" si="4"/>
        <v>0</v>
      </c>
      <c r="E20" s="7">
        <f t="shared" si="4"/>
        <v>0</v>
      </c>
      <c r="F20" s="7">
        <f t="shared" si="4"/>
        <v>0</v>
      </c>
      <c r="G20" s="7">
        <f t="shared" si="4"/>
        <v>0</v>
      </c>
      <c r="H20" s="7">
        <f t="shared" si="4"/>
        <v>0</v>
      </c>
      <c r="I20" s="7">
        <f t="shared" si="4"/>
        <v>0</v>
      </c>
      <c r="J20" s="7">
        <f t="shared" si="4"/>
        <v>0</v>
      </c>
      <c r="K20" s="7">
        <f t="shared" si="4"/>
        <v>0</v>
      </c>
      <c r="L20" s="7">
        <f t="shared" si="4"/>
        <v>0</v>
      </c>
      <c r="M20" s="7">
        <f t="shared" si="4"/>
        <v>0</v>
      </c>
      <c r="N20" s="7">
        <f t="shared" si="4"/>
        <v>0</v>
      </c>
      <c r="O20" s="66">
        <f t="shared" si="2"/>
        <v>0</v>
      </c>
    </row>
    <row r="21" spans="1:15" x14ac:dyDescent="0.25">
      <c r="A21" s="8">
        <f t="shared" si="3"/>
        <v>2035</v>
      </c>
      <c r="B21" s="114"/>
      <c r="C21" s="7">
        <f t="shared" si="5"/>
        <v>0</v>
      </c>
      <c r="D21" s="7">
        <f t="shared" si="4"/>
        <v>0</v>
      </c>
      <c r="E21" s="7">
        <f t="shared" si="4"/>
        <v>0</v>
      </c>
      <c r="F21" s="7">
        <f t="shared" si="4"/>
        <v>0</v>
      </c>
      <c r="G21" s="7">
        <f t="shared" si="4"/>
        <v>0</v>
      </c>
      <c r="H21" s="7">
        <f t="shared" si="4"/>
        <v>0</v>
      </c>
      <c r="I21" s="7">
        <f t="shared" si="4"/>
        <v>0</v>
      </c>
      <c r="J21" s="7">
        <f t="shared" si="4"/>
        <v>0</v>
      </c>
      <c r="K21" s="7">
        <f t="shared" si="4"/>
        <v>0</v>
      </c>
      <c r="L21" s="7">
        <f t="shared" si="4"/>
        <v>0</v>
      </c>
      <c r="M21" s="7">
        <f t="shared" si="4"/>
        <v>0</v>
      </c>
      <c r="N21" s="7">
        <f t="shared" si="4"/>
        <v>0</v>
      </c>
      <c r="O21" s="66">
        <f t="shared" si="2"/>
        <v>0</v>
      </c>
    </row>
    <row r="22" spans="1:15" x14ac:dyDescent="0.25">
      <c r="A22" s="8">
        <f t="shared" si="3"/>
        <v>2036</v>
      </c>
      <c r="B22" s="114"/>
      <c r="C22" s="7">
        <f t="shared" si="5"/>
        <v>0</v>
      </c>
      <c r="D22" s="7">
        <f t="shared" si="4"/>
        <v>0</v>
      </c>
      <c r="E22" s="7">
        <f t="shared" si="4"/>
        <v>0</v>
      </c>
      <c r="F22" s="7">
        <f t="shared" si="4"/>
        <v>0</v>
      </c>
      <c r="G22" s="7">
        <f t="shared" si="4"/>
        <v>0</v>
      </c>
      <c r="H22" s="7">
        <f t="shared" si="4"/>
        <v>0</v>
      </c>
      <c r="I22" s="7">
        <f t="shared" si="4"/>
        <v>0</v>
      </c>
      <c r="J22" s="7">
        <f t="shared" si="4"/>
        <v>0</v>
      </c>
      <c r="K22" s="7">
        <f t="shared" si="4"/>
        <v>0</v>
      </c>
      <c r="L22" s="7">
        <f t="shared" si="4"/>
        <v>0</v>
      </c>
      <c r="M22" s="7">
        <f t="shared" si="4"/>
        <v>0</v>
      </c>
      <c r="N22" s="7">
        <f t="shared" si="4"/>
        <v>0</v>
      </c>
      <c r="O22" s="66">
        <f t="shared" si="2"/>
        <v>0</v>
      </c>
    </row>
    <row r="23" spans="1:15" x14ac:dyDescent="0.25">
      <c r="A23" s="8">
        <f t="shared" si="3"/>
        <v>2037</v>
      </c>
      <c r="B23" s="114"/>
      <c r="C23" s="7">
        <f t="shared" si="5"/>
        <v>0</v>
      </c>
      <c r="D23" s="7">
        <f t="shared" si="4"/>
        <v>0</v>
      </c>
      <c r="E23" s="7">
        <f t="shared" si="4"/>
        <v>0</v>
      </c>
      <c r="F23" s="7">
        <f t="shared" si="4"/>
        <v>0</v>
      </c>
      <c r="G23" s="7">
        <f t="shared" si="4"/>
        <v>0</v>
      </c>
      <c r="H23" s="7">
        <f t="shared" si="4"/>
        <v>0</v>
      </c>
      <c r="I23" s="7">
        <f t="shared" si="4"/>
        <v>0</v>
      </c>
      <c r="J23" s="7">
        <f t="shared" si="4"/>
        <v>0</v>
      </c>
      <c r="K23" s="7">
        <f t="shared" si="4"/>
        <v>0</v>
      </c>
      <c r="L23" s="7">
        <f t="shared" si="4"/>
        <v>0</v>
      </c>
      <c r="M23" s="7">
        <f t="shared" si="4"/>
        <v>0</v>
      </c>
      <c r="N23" s="7">
        <f t="shared" si="4"/>
        <v>0</v>
      </c>
      <c r="O23" s="66">
        <f t="shared" si="2"/>
        <v>0</v>
      </c>
    </row>
    <row r="24" spans="1:15" x14ac:dyDescent="0.25">
      <c r="A24" s="8">
        <f t="shared" si="3"/>
        <v>2038</v>
      </c>
      <c r="B24" s="114"/>
      <c r="C24" s="7">
        <f t="shared" si="5"/>
        <v>0</v>
      </c>
      <c r="D24" s="7">
        <f t="shared" ref="D24:D32" si="6">(D$3*D$4*D$5)+D23</f>
        <v>0</v>
      </c>
      <c r="E24" s="7">
        <f t="shared" ref="E24:E32" si="7">(E$3*E$4*E$5)+E23</f>
        <v>0</v>
      </c>
      <c r="F24" s="7">
        <f t="shared" ref="F24:F32" si="8">(F$3*F$4*F$5)+F23</f>
        <v>0</v>
      </c>
      <c r="G24" s="7">
        <f t="shared" ref="G24:G32" si="9">(G$3*G$4*G$5)+G23</f>
        <v>0</v>
      </c>
      <c r="H24" s="7">
        <f t="shared" ref="H24:H32" si="10">(H$3*H$4*H$5)+H23</f>
        <v>0</v>
      </c>
      <c r="I24" s="7">
        <f t="shared" ref="I24:I32" si="11">(I$3*I$4*I$5)+I23</f>
        <v>0</v>
      </c>
      <c r="J24" s="7">
        <f t="shared" ref="J24:J32" si="12">(J$3*J$4*J$5)+J23</f>
        <v>0</v>
      </c>
      <c r="K24" s="7">
        <f t="shared" ref="K24:K32" si="13">(K$3*K$4*K$5)+K23</f>
        <v>0</v>
      </c>
      <c r="L24" s="7">
        <f t="shared" ref="L24:L32" si="14">(L$3*L$4*L$5)+L23</f>
        <v>0</v>
      </c>
      <c r="M24" s="7">
        <f t="shared" ref="M24:M32" si="15">(M$3*M$4*M$5)+M23</f>
        <v>0</v>
      </c>
      <c r="N24" s="7">
        <f t="shared" ref="N24:N32" si="16">(N$3*N$4*N$5)+N23</f>
        <v>0</v>
      </c>
      <c r="O24" s="66">
        <f t="shared" si="2"/>
        <v>0</v>
      </c>
    </row>
    <row r="25" spans="1:15" x14ac:dyDescent="0.25">
      <c r="A25" s="8">
        <f t="shared" si="3"/>
        <v>2039</v>
      </c>
      <c r="B25" s="114"/>
      <c r="C25" s="7">
        <f t="shared" si="5"/>
        <v>0</v>
      </c>
      <c r="D25" s="7">
        <f t="shared" si="6"/>
        <v>0</v>
      </c>
      <c r="E25" s="7">
        <f t="shared" si="7"/>
        <v>0</v>
      </c>
      <c r="F25" s="7">
        <f t="shared" si="8"/>
        <v>0</v>
      </c>
      <c r="G25" s="7">
        <f t="shared" si="9"/>
        <v>0</v>
      </c>
      <c r="H25" s="7">
        <f t="shared" si="10"/>
        <v>0</v>
      </c>
      <c r="I25" s="7">
        <f t="shared" si="11"/>
        <v>0</v>
      </c>
      <c r="J25" s="7">
        <f t="shared" si="12"/>
        <v>0</v>
      </c>
      <c r="K25" s="7">
        <f t="shared" si="13"/>
        <v>0</v>
      </c>
      <c r="L25" s="7">
        <f t="shared" si="14"/>
        <v>0</v>
      </c>
      <c r="M25" s="7">
        <f t="shared" si="15"/>
        <v>0</v>
      </c>
      <c r="N25" s="7">
        <f t="shared" si="16"/>
        <v>0</v>
      </c>
      <c r="O25" s="66">
        <f t="shared" si="2"/>
        <v>0</v>
      </c>
    </row>
    <row r="26" spans="1:15" x14ac:dyDescent="0.25">
      <c r="A26" s="98">
        <f t="shared" si="3"/>
        <v>2040</v>
      </c>
      <c r="B26" s="114"/>
      <c r="C26" s="7">
        <f t="shared" si="5"/>
        <v>0</v>
      </c>
      <c r="D26" s="7">
        <f t="shared" si="6"/>
        <v>0</v>
      </c>
      <c r="E26" s="7">
        <f t="shared" si="7"/>
        <v>0</v>
      </c>
      <c r="F26" s="7">
        <f t="shared" si="8"/>
        <v>0</v>
      </c>
      <c r="G26" s="7">
        <f t="shared" si="9"/>
        <v>0</v>
      </c>
      <c r="H26" s="7">
        <f t="shared" si="10"/>
        <v>0</v>
      </c>
      <c r="I26" s="7">
        <f t="shared" si="11"/>
        <v>0</v>
      </c>
      <c r="J26" s="7">
        <f t="shared" si="12"/>
        <v>0</v>
      </c>
      <c r="K26" s="7">
        <f t="shared" si="13"/>
        <v>0</v>
      </c>
      <c r="L26" s="7">
        <f t="shared" si="14"/>
        <v>0</v>
      </c>
      <c r="M26" s="7">
        <f t="shared" si="15"/>
        <v>0</v>
      </c>
      <c r="N26" s="7">
        <f t="shared" si="16"/>
        <v>0</v>
      </c>
      <c r="O26" s="105">
        <f t="shared" si="2"/>
        <v>0</v>
      </c>
    </row>
    <row r="27" spans="1:15" x14ac:dyDescent="0.25">
      <c r="A27" s="8">
        <f t="shared" si="3"/>
        <v>2041</v>
      </c>
      <c r="B27" s="114"/>
      <c r="C27" s="7">
        <f t="shared" si="5"/>
        <v>0</v>
      </c>
      <c r="D27" s="7">
        <f t="shared" si="6"/>
        <v>0</v>
      </c>
      <c r="E27" s="7">
        <f t="shared" si="7"/>
        <v>0</v>
      </c>
      <c r="F27" s="7">
        <f t="shared" si="8"/>
        <v>0</v>
      </c>
      <c r="G27" s="7">
        <f t="shared" si="9"/>
        <v>0</v>
      </c>
      <c r="H27" s="7">
        <f t="shared" si="10"/>
        <v>0</v>
      </c>
      <c r="I27" s="7">
        <f t="shared" si="11"/>
        <v>0</v>
      </c>
      <c r="J27" s="7">
        <f t="shared" si="12"/>
        <v>0</v>
      </c>
      <c r="K27" s="7">
        <f t="shared" si="13"/>
        <v>0</v>
      </c>
      <c r="L27" s="7">
        <f t="shared" si="14"/>
        <v>0</v>
      </c>
      <c r="M27" s="7">
        <f t="shared" si="15"/>
        <v>0</v>
      </c>
      <c r="N27" s="7">
        <f t="shared" si="16"/>
        <v>0</v>
      </c>
      <c r="O27" s="66">
        <f t="shared" si="2"/>
        <v>0</v>
      </c>
    </row>
    <row r="28" spans="1:15" x14ac:dyDescent="0.25">
      <c r="A28" s="8">
        <f t="shared" si="3"/>
        <v>2042</v>
      </c>
      <c r="B28" s="114"/>
      <c r="C28" s="7">
        <f t="shared" si="5"/>
        <v>0</v>
      </c>
      <c r="D28" s="7">
        <f t="shared" si="6"/>
        <v>0</v>
      </c>
      <c r="E28" s="7">
        <f t="shared" si="7"/>
        <v>0</v>
      </c>
      <c r="F28" s="7">
        <f t="shared" si="8"/>
        <v>0</v>
      </c>
      <c r="G28" s="7">
        <f t="shared" si="9"/>
        <v>0</v>
      </c>
      <c r="H28" s="7">
        <f t="shared" si="10"/>
        <v>0</v>
      </c>
      <c r="I28" s="7">
        <f t="shared" si="11"/>
        <v>0</v>
      </c>
      <c r="J28" s="7">
        <f t="shared" si="12"/>
        <v>0</v>
      </c>
      <c r="K28" s="7">
        <f t="shared" si="13"/>
        <v>0</v>
      </c>
      <c r="L28" s="7">
        <f t="shared" si="14"/>
        <v>0</v>
      </c>
      <c r="M28" s="7">
        <f t="shared" si="15"/>
        <v>0</v>
      </c>
      <c r="N28" s="7">
        <f t="shared" si="16"/>
        <v>0</v>
      </c>
      <c r="O28" s="66">
        <f t="shared" si="2"/>
        <v>0</v>
      </c>
    </row>
    <row r="29" spans="1:15" x14ac:dyDescent="0.25">
      <c r="A29" s="8">
        <f t="shared" si="3"/>
        <v>2043</v>
      </c>
      <c r="B29" s="114"/>
      <c r="C29" s="7">
        <f t="shared" si="5"/>
        <v>0</v>
      </c>
      <c r="D29" s="7">
        <f t="shared" si="6"/>
        <v>0</v>
      </c>
      <c r="E29" s="7">
        <f t="shared" si="7"/>
        <v>0</v>
      </c>
      <c r="F29" s="7">
        <f t="shared" si="8"/>
        <v>0</v>
      </c>
      <c r="G29" s="7">
        <f t="shared" si="9"/>
        <v>0</v>
      </c>
      <c r="H29" s="7">
        <f t="shared" si="10"/>
        <v>0</v>
      </c>
      <c r="I29" s="7">
        <f t="shared" si="11"/>
        <v>0</v>
      </c>
      <c r="J29" s="7">
        <f t="shared" si="12"/>
        <v>0</v>
      </c>
      <c r="K29" s="7">
        <f t="shared" si="13"/>
        <v>0</v>
      </c>
      <c r="L29" s="7">
        <f t="shared" si="14"/>
        <v>0</v>
      </c>
      <c r="M29" s="7">
        <f t="shared" si="15"/>
        <v>0</v>
      </c>
      <c r="N29" s="7">
        <f t="shared" si="16"/>
        <v>0</v>
      </c>
      <c r="O29" s="66">
        <f t="shared" si="2"/>
        <v>0</v>
      </c>
    </row>
    <row r="30" spans="1:15" x14ac:dyDescent="0.25">
      <c r="A30" s="8">
        <f t="shared" si="3"/>
        <v>2044</v>
      </c>
      <c r="B30" s="114"/>
      <c r="C30" s="7">
        <f t="shared" si="5"/>
        <v>0</v>
      </c>
      <c r="D30" s="7">
        <f t="shared" si="6"/>
        <v>0</v>
      </c>
      <c r="E30" s="7">
        <f t="shared" si="7"/>
        <v>0</v>
      </c>
      <c r="F30" s="7">
        <f t="shared" si="8"/>
        <v>0</v>
      </c>
      <c r="G30" s="7">
        <f t="shared" si="9"/>
        <v>0</v>
      </c>
      <c r="H30" s="7">
        <f t="shared" si="10"/>
        <v>0</v>
      </c>
      <c r="I30" s="7">
        <f t="shared" si="11"/>
        <v>0</v>
      </c>
      <c r="J30" s="7">
        <f t="shared" si="12"/>
        <v>0</v>
      </c>
      <c r="K30" s="7">
        <f t="shared" si="13"/>
        <v>0</v>
      </c>
      <c r="L30" s="7">
        <f t="shared" si="14"/>
        <v>0</v>
      </c>
      <c r="M30" s="7">
        <f t="shared" si="15"/>
        <v>0</v>
      </c>
      <c r="N30" s="7">
        <f t="shared" si="16"/>
        <v>0</v>
      </c>
      <c r="O30" s="66">
        <f t="shared" si="2"/>
        <v>0</v>
      </c>
    </row>
    <row r="31" spans="1:15" x14ac:dyDescent="0.25">
      <c r="A31" s="99">
        <f t="shared" si="3"/>
        <v>2045</v>
      </c>
      <c r="B31" s="114"/>
      <c r="C31" s="7">
        <f t="shared" si="5"/>
        <v>0</v>
      </c>
      <c r="D31" s="7">
        <f t="shared" si="6"/>
        <v>0</v>
      </c>
      <c r="E31" s="7">
        <f t="shared" si="7"/>
        <v>0</v>
      </c>
      <c r="F31" s="7">
        <f t="shared" si="8"/>
        <v>0</v>
      </c>
      <c r="G31" s="7">
        <f t="shared" si="9"/>
        <v>0</v>
      </c>
      <c r="H31" s="7">
        <f t="shared" si="10"/>
        <v>0</v>
      </c>
      <c r="I31" s="7">
        <f t="shared" si="11"/>
        <v>0</v>
      </c>
      <c r="J31" s="7">
        <f t="shared" si="12"/>
        <v>0</v>
      </c>
      <c r="K31" s="7">
        <f t="shared" si="13"/>
        <v>0</v>
      </c>
      <c r="L31" s="7">
        <f t="shared" si="14"/>
        <v>0</v>
      </c>
      <c r="M31" s="7">
        <f t="shared" si="15"/>
        <v>0</v>
      </c>
      <c r="N31" s="7">
        <f t="shared" si="16"/>
        <v>0</v>
      </c>
      <c r="O31" s="106">
        <f t="shared" ref="O31:O32" si="17">SUM(C31:N31)</f>
        <v>0</v>
      </c>
    </row>
    <row r="32" spans="1:15" x14ac:dyDescent="0.25">
      <c r="A32" s="8">
        <f t="shared" si="3"/>
        <v>2046</v>
      </c>
      <c r="B32" s="115"/>
      <c r="C32" s="7">
        <f t="shared" si="5"/>
        <v>0</v>
      </c>
      <c r="D32" s="7">
        <f t="shared" si="6"/>
        <v>0</v>
      </c>
      <c r="E32" s="7">
        <f t="shared" si="7"/>
        <v>0</v>
      </c>
      <c r="F32" s="7">
        <f t="shared" si="8"/>
        <v>0</v>
      </c>
      <c r="G32" s="7">
        <f t="shared" si="9"/>
        <v>0</v>
      </c>
      <c r="H32" s="7">
        <f t="shared" si="10"/>
        <v>0</v>
      </c>
      <c r="I32" s="7">
        <f t="shared" si="11"/>
        <v>0</v>
      </c>
      <c r="J32" s="7">
        <f t="shared" si="12"/>
        <v>0</v>
      </c>
      <c r="K32" s="7">
        <f t="shared" si="13"/>
        <v>0</v>
      </c>
      <c r="L32" s="7">
        <f t="shared" si="14"/>
        <v>0</v>
      </c>
      <c r="M32" s="7">
        <f t="shared" si="15"/>
        <v>0</v>
      </c>
      <c r="N32" s="7">
        <f t="shared" si="16"/>
        <v>0</v>
      </c>
      <c r="O32" s="66">
        <f t="shared" si="17"/>
        <v>0</v>
      </c>
    </row>
    <row r="33" spans="1:15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</row>
    <row r="34" spans="1:15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</row>
    <row r="35" spans="1:15" x14ac:dyDescent="0.25">
      <c r="A35" s="49" t="s">
        <v>21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x14ac:dyDescent="0.25">
      <c r="A36" s="50" t="s">
        <v>22</v>
      </c>
      <c r="B36" s="51"/>
      <c r="C36" s="51"/>
      <c r="D36" s="51"/>
      <c r="E36" s="50" t="s">
        <v>23</v>
      </c>
      <c r="F36" s="51"/>
      <c r="G36" s="51"/>
      <c r="H36" s="51"/>
      <c r="I36" s="51"/>
      <c r="J36" s="50" t="s">
        <v>24</v>
      </c>
      <c r="K36" s="51"/>
      <c r="L36" s="51"/>
      <c r="M36" s="51"/>
      <c r="N36" s="51"/>
      <c r="O36" s="48"/>
    </row>
    <row r="37" spans="1:15" x14ac:dyDescent="0.25">
      <c r="A37" s="50" t="s">
        <v>25</v>
      </c>
      <c r="B37" s="51"/>
      <c r="C37" s="51"/>
      <c r="D37" s="51"/>
      <c r="E37" s="50" t="s">
        <v>26</v>
      </c>
      <c r="F37" s="51"/>
      <c r="G37" s="51"/>
      <c r="H37" s="51"/>
      <c r="I37" s="51"/>
      <c r="J37" s="50" t="s">
        <v>27</v>
      </c>
      <c r="K37" s="51"/>
      <c r="L37" s="51"/>
      <c r="M37" s="51"/>
      <c r="N37" s="51"/>
      <c r="O37" s="48"/>
    </row>
    <row r="38" spans="1:15" x14ac:dyDescent="0.25">
      <c r="A38" s="50" t="s">
        <v>28</v>
      </c>
      <c r="B38" s="51"/>
      <c r="C38" s="51"/>
      <c r="D38" s="51"/>
      <c r="E38" s="50" t="s">
        <v>29</v>
      </c>
      <c r="F38" s="51"/>
      <c r="G38" s="51"/>
      <c r="H38" s="51"/>
      <c r="I38" s="51"/>
      <c r="J38" s="50" t="s">
        <v>88</v>
      </c>
      <c r="K38" s="51"/>
      <c r="L38" s="51"/>
      <c r="M38" s="51"/>
      <c r="N38" s="51"/>
      <c r="O38" s="48"/>
    </row>
    <row r="39" spans="1:15" x14ac:dyDescent="0.25">
      <c r="A39" s="50" t="s">
        <v>31</v>
      </c>
      <c r="B39" s="51"/>
      <c r="C39" s="51"/>
      <c r="D39" s="51"/>
      <c r="E39" s="50" t="s">
        <v>32</v>
      </c>
      <c r="F39" s="51"/>
      <c r="G39" s="51"/>
      <c r="H39" s="51"/>
      <c r="I39" s="51"/>
      <c r="J39" s="50" t="s">
        <v>33</v>
      </c>
      <c r="K39" s="51"/>
      <c r="L39" s="51"/>
      <c r="M39" s="51"/>
      <c r="N39" s="51"/>
      <c r="O39" s="48"/>
    </row>
  </sheetData>
  <mergeCells count="5">
    <mergeCell ref="C1:N1"/>
    <mergeCell ref="O1:O5"/>
    <mergeCell ref="A2:A5"/>
    <mergeCell ref="B9:B11"/>
    <mergeCell ref="B12:B32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7"/>
  <sheetViews>
    <sheetView topLeftCell="K7" workbookViewId="0">
      <selection activeCell="T20" sqref="T20"/>
    </sheetView>
  </sheetViews>
  <sheetFormatPr baseColWidth="10" defaultColWidth="11.5703125" defaultRowHeight="15.75" x14ac:dyDescent="0.25"/>
  <cols>
    <col min="3" max="3" width="12.5703125" bestFit="1" customWidth="1"/>
    <col min="5" max="5" width="12.7109375" customWidth="1"/>
    <col min="16" max="18" width="2.28515625" customWidth="1"/>
    <col min="19" max="26" width="11.5703125" style="55"/>
    <col min="27" max="27" width="11.5703125" style="71"/>
    <col min="28" max="29" width="11.5703125" style="55"/>
  </cols>
  <sheetData>
    <row r="1" spans="1:27" x14ac:dyDescent="0.25">
      <c r="A1" s="1"/>
      <c r="B1" s="1"/>
      <c r="C1" s="116" t="s">
        <v>34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7" t="s">
        <v>0</v>
      </c>
    </row>
    <row r="2" spans="1:27" x14ac:dyDescent="0.25">
      <c r="A2" s="119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118"/>
    </row>
    <row r="3" spans="1:27" x14ac:dyDescent="0.25">
      <c r="A3" s="119"/>
      <c r="B3" s="2" t="s">
        <v>15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118"/>
    </row>
    <row r="4" spans="1:27" x14ac:dyDescent="0.25">
      <c r="A4" s="119"/>
      <c r="B4" s="4" t="s">
        <v>16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118"/>
      <c r="AA4" s="72">
        <f>(7/7.77)^4.32</f>
        <v>0.63709578474307194</v>
      </c>
    </row>
    <row r="5" spans="1:27" x14ac:dyDescent="0.25">
      <c r="A5" s="119"/>
      <c r="B5" s="13" t="s">
        <v>93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118"/>
    </row>
    <row r="6" spans="1:27" x14ac:dyDescent="0.25">
      <c r="A6" s="5">
        <v>2016</v>
      </c>
      <c r="B6" s="6"/>
      <c r="C6" s="107">
        <f>('TPDA (2)'!C6)*$AA$4*$C$5</f>
        <v>0</v>
      </c>
      <c r="D6" s="107">
        <f>('TPDA (2)'!D6)*$AA$4*$D$5</f>
        <v>0</v>
      </c>
      <c r="E6" s="107">
        <f>('TPDA (2)'!E6)*$AA$4*$E$5</f>
        <v>0</v>
      </c>
      <c r="F6" s="107">
        <f>('TPDA (2)'!F6)*$AA$9*$F$5</f>
        <v>0</v>
      </c>
      <c r="G6" s="107">
        <f>('TPDA (2)'!G6)*$AA$9*$G$5</f>
        <v>0</v>
      </c>
      <c r="H6" s="107">
        <f>('TPDA (2)'!H6)*$AA$9*$H$5</f>
        <v>0</v>
      </c>
      <c r="I6" s="107">
        <f>('TPDA (2)'!I6)*$AA$9*$I$5</f>
        <v>0</v>
      </c>
      <c r="J6" s="107">
        <f>('TPDA (2)'!J6)*$AA$14*$J$5</f>
        <v>0</v>
      </c>
      <c r="K6" s="107">
        <f>('TPDA (2)'!K6)*$AA$14*$K$5</f>
        <v>0</v>
      </c>
      <c r="L6" s="107">
        <f>('TPDA (2)'!L6)*$AA$18*$L$5</f>
        <v>0</v>
      </c>
      <c r="M6" s="107">
        <f>('TPDA (2)'!M6)*$AA$18*$M$5</f>
        <v>0</v>
      </c>
      <c r="N6" s="107">
        <f>('TPDA (2)'!N6)*$AA$4*$N$5</f>
        <v>0</v>
      </c>
      <c r="O6" s="8">
        <f>SUM(C6:N6)</f>
        <v>0</v>
      </c>
    </row>
    <row r="7" spans="1:27" x14ac:dyDescent="0.25">
      <c r="A7" s="5">
        <f>+A6+1</f>
        <v>2017</v>
      </c>
      <c r="B7" s="5" t="s">
        <v>17</v>
      </c>
      <c r="C7" s="7">
        <f>('TPDA (2)'!C7)*$AA$4*$C$5</f>
        <v>0</v>
      </c>
      <c r="D7" s="107">
        <f>('TPDA (2)'!D7)*$AA$4*$D$5</f>
        <v>0</v>
      </c>
      <c r="E7" s="107">
        <f>('TPDA (2)'!E7)*$AA$4*$E$5</f>
        <v>0</v>
      </c>
      <c r="F7" s="107">
        <f>('TPDA (2)'!F7)*$AA$9*$F$5</f>
        <v>0</v>
      </c>
      <c r="G7" s="107">
        <f>('TPDA (2)'!G7)*$AA$9*$G$5</f>
        <v>0</v>
      </c>
      <c r="H7" s="107">
        <f>('TPDA (2)'!H7)*$AA$9*$H$5</f>
        <v>0</v>
      </c>
      <c r="I7" s="107">
        <f>('TPDA (2)'!I7)*$AA$9*$I$5</f>
        <v>0</v>
      </c>
      <c r="J7" s="107">
        <f>('TPDA (2)'!J7)*$AA$14*$J$5</f>
        <v>0</v>
      </c>
      <c r="K7" s="107">
        <f>('TPDA (2)'!K7)*$AA$14*$K$5</f>
        <v>0</v>
      </c>
      <c r="L7" s="107">
        <f>('TPDA (2)'!L7)*$AA$18*$L$5</f>
        <v>0</v>
      </c>
      <c r="M7" s="107">
        <f>('TPDA (2)'!M7)*$AA$18*$M$5</f>
        <v>0</v>
      </c>
      <c r="N7" s="107">
        <f>('TPDA (2)'!N7)*$AA$4*$N$5</f>
        <v>0</v>
      </c>
      <c r="O7" s="8">
        <f t="shared" ref="O7:O30" si="0">SUM(C7:N7)</f>
        <v>0</v>
      </c>
    </row>
    <row r="8" spans="1:27" x14ac:dyDescent="0.25">
      <c r="A8" s="5">
        <f t="shared" ref="A8:A30" si="1">+A7+1</f>
        <v>2018</v>
      </c>
      <c r="B8" s="5" t="s">
        <v>18</v>
      </c>
      <c r="C8" s="7">
        <f>('TPDA (2)'!C8)*$AA$4*$C$5</f>
        <v>0</v>
      </c>
      <c r="D8" s="107">
        <f>('TPDA (2)'!D8)*$AA$4*$D$5</f>
        <v>0</v>
      </c>
      <c r="E8" s="107">
        <f>('TPDA (2)'!E8)*$AA$4*$E$5</f>
        <v>0</v>
      </c>
      <c r="F8" s="107">
        <f>('TPDA (2)'!F8)*$AA$9*$F$5</f>
        <v>0</v>
      </c>
      <c r="G8" s="107">
        <f>('TPDA (2)'!G8)*$AA$9*$G$5</f>
        <v>0</v>
      </c>
      <c r="H8" s="107">
        <f>('TPDA (2)'!H8)*$AA$9*$H$5</f>
        <v>0</v>
      </c>
      <c r="I8" s="107">
        <f>('TPDA (2)'!I8)*$AA$9*$I$5</f>
        <v>0</v>
      </c>
      <c r="J8" s="107">
        <f>('TPDA (2)'!J8)*$AA$14*$J$5</f>
        <v>0</v>
      </c>
      <c r="K8" s="107">
        <f>('TPDA (2)'!K8)*$AA$14*$K$5</f>
        <v>0</v>
      </c>
      <c r="L8" s="107">
        <f>('TPDA (2)'!L8)*$AA$18*$L$5</f>
        <v>0</v>
      </c>
      <c r="M8" s="107">
        <f>('TPDA (2)'!M8)*$AA$18*$M$5</f>
        <v>0</v>
      </c>
      <c r="N8" s="107">
        <f>('TPDA (2)'!N8)*$AA$4*$N$5</f>
        <v>0</v>
      </c>
      <c r="O8" s="8">
        <f t="shared" si="0"/>
        <v>0</v>
      </c>
    </row>
    <row r="9" spans="1:27" x14ac:dyDescent="0.25">
      <c r="A9" s="5">
        <f t="shared" si="1"/>
        <v>2019</v>
      </c>
      <c r="B9" s="120" t="s">
        <v>19</v>
      </c>
      <c r="C9" s="7">
        <f>('TPDA (2)'!C9)*$AA$4*$C$5</f>
        <v>0</v>
      </c>
      <c r="D9" s="107">
        <f>('TPDA (2)'!D9)*$AA$4*$D$5</f>
        <v>0</v>
      </c>
      <c r="E9" s="107">
        <f>('TPDA (2)'!E9)*$AA$4*$E$5</f>
        <v>0</v>
      </c>
      <c r="F9" s="107">
        <f>('TPDA (2)'!F9)*$AA$9*$F$5</f>
        <v>0</v>
      </c>
      <c r="G9" s="107">
        <f>('TPDA (2)'!G9)*$AA$9*$G$5</f>
        <v>0</v>
      </c>
      <c r="H9" s="107">
        <f>('TPDA (2)'!H9)*$AA$9*$H$5</f>
        <v>0</v>
      </c>
      <c r="I9" s="107">
        <f>('TPDA (2)'!I9)*$AA$9*$I$5</f>
        <v>0</v>
      </c>
      <c r="J9" s="107">
        <f>('TPDA (2)'!J9)*$AA$14*$J$5</f>
        <v>0</v>
      </c>
      <c r="K9" s="107">
        <f>('TPDA (2)'!K9)*$AA$14*$K$5</f>
        <v>0</v>
      </c>
      <c r="L9" s="107">
        <f>('TPDA (2)'!L9)*$AA$18*$L$5</f>
        <v>0</v>
      </c>
      <c r="M9" s="107">
        <f>('TPDA (2)'!M9)*$AA$18*$M$5</f>
        <v>0</v>
      </c>
      <c r="N9" s="107">
        <f>('TPDA (2)'!N9)*$AA$4*$N$5</f>
        <v>0</v>
      </c>
      <c r="O9" s="8">
        <f t="shared" si="0"/>
        <v>0</v>
      </c>
      <c r="AA9" s="73">
        <f>(11/8.17)^4.32</f>
        <v>3.6142410618113718</v>
      </c>
    </row>
    <row r="10" spans="1:27" x14ac:dyDescent="0.25">
      <c r="A10" s="5">
        <f t="shared" si="1"/>
        <v>2020</v>
      </c>
      <c r="B10" s="120"/>
      <c r="C10" s="7">
        <f>('TPDA (2)'!C10)*$AA$4*$C$5</f>
        <v>0</v>
      </c>
      <c r="D10" s="107">
        <f>('TPDA (2)'!D10)*$AA$4*$D$5</f>
        <v>0</v>
      </c>
      <c r="E10" s="107">
        <f>('TPDA (2)'!E10)*$AA$4*$E$5</f>
        <v>0</v>
      </c>
      <c r="F10" s="107">
        <f>('TPDA (2)'!F10)*$AA$9*$F$5</f>
        <v>0</v>
      </c>
      <c r="G10" s="107">
        <f>('TPDA (2)'!G10)*$AA$9*$G$5</f>
        <v>0</v>
      </c>
      <c r="H10" s="107">
        <f>('TPDA (2)'!H10)*$AA$9*$H$5</f>
        <v>0</v>
      </c>
      <c r="I10" s="107">
        <f>('TPDA (2)'!I10)*$AA$9*$I$5</f>
        <v>0</v>
      </c>
      <c r="J10" s="107">
        <f>('TPDA (2)'!J10)*$AA$14*$J$5</f>
        <v>0</v>
      </c>
      <c r="K10" s="107">
        <f>('TPDA (2)'!K10)*$AA$14*$K$5</f>
        <v>0</v>
      </c>
      <c r="L10" s="107">
        <f>('TPDA (2)'!L10)*$AA$18*$L$5</f>
        <v>0</v>
      </c>
      <c r="M10" s="107">
        <f>('TPDA (2)'!M10)*$AA$18*$M$5</f>
        <v>0</v>
      </c>
      <c r="N10" s="107">
        <f>('TPDA (2)'!N10)*$AA$4*$N$5</f>
        <v>0</v>
      </c>
      <c r="O10" s="8">
        <f t="shared" si="0"/>
        <v>0</v>
      </c>
    </row>
    <row r="11" spans="1:27" x14ac:dyDescent="0.25">
      <c r="A11" s="5">
        <f t="shared" si="1"/>
        <v>2021</v>
      </c>
      <c r="B11" s="120"/>
      <c r="C11" s="7">
        <f>('TPDA (2)'!C11)*$AA$4*$C$5</f>
        <v>0</v>
      </c>
      <c r="D11" s="107">
        <f>('TPDA (2)'!D11)*$AA$4*$D$5</f>
        <v>0</v>
      </c>
      <c r="E11" s="107">
        <f>('TPDA (2)'!E11)*$AA$4*$E$5</f>
        <v>0</v>
      </c>
      <c r="F11" s="107">
        <f>('TPDA (2)'!F11)*$AA$9*$F$5</f>
        <v>0</v>
      </c>
      <c r="G11" s="107">
        <f>('TPDA (2)'!G11)*$AA$9*$G$5</f>
        <v>0</v>
      </c>
      <c r="H11" s="107">
        <f>('TPDA (2)'!H11)*$AA$9*$H$5</f>
        <v>0</v>
      </c>
      <c r="I11" s="107">
        <f>('TPDA (2)'!I11)*$AA$9*$I$5</f>
        <v>0</v>
      </c>
      <c r="J11" s="107">
        <f>('TPDA (2)'!J11)*$AA$14*$J$5</f>
        <v>0</v>
      </c>
      <c r="K11" s="107">
        <f>('TPDA (2)'!K11)*$AA$14*$K$5</f>
        <v>0</v>
      </c>
      <c r="L11" s="107">
        <f>('TPDA (2)'!L11)*$AA$18*$L$5</f>
        <v>0</v>
      </c>
      <c r="M11" s="107">
        <f>('TPDA (2)'!M11)*$AA$18*$M$5</f>
        <v>0</v>
      </c>
      <c r="N11" s="107">
        <f>('TPDA (2)'!N11)*$AA$4*$N$5</f>
        <v>0</v>
      </c>
      <c r="O11" s="8">
        <f t="shared" si="0"/>
        <v>0</v>
      </c>
    </row>
    <row r="12" spans="1:27" x14ac:dyDescent="0.25">
      <c r="A12" s="5">
        <f t="shared" si="1"/>
        <v>2022</v>
      </c>
      <c r="B12" s="121" t="s">
        <v>20</v>
      </c>
      <c r="C12" s="7">
        <f>('TPDA (2)'!C12)*$AA$4*$C$5</f>
        <v>0</v>
      </c>
      <c r="D12" s="107">
        <f>('TPDA (2)'!D12)*$AA$4*$D$5</f>
        <v>0</v>
      </c>
      <c r="E12" s="107">
        <f>('TPDA (2)'!E12)*$AA$4*$E$5</f>
        <v>0</v>
      </c>
      <c r="F12" s="107">
        <f>('TPDA (2)'!F12)*$AA$9*$F$5</f>
        <v>0</v>
      </c>
      <c r="G12" s="107">
        <f>('TPDA (2)'!G12)*$AA$9*$G$5</f>
        <v>0</v>
      </c>
      <c r="H12" s="107">
        <f>('TPDA (2)'!H12)*$AA$9*$H$5</f>
        <v>0</v>
      </c>
      <c r="I12" s="107">
        <f>('TPDA (2)'!I12)*$AA$9*$I$5</f>
        <v>0</v>
      </c>
      <c r="J12" s="107">
        <f>('TPDA (2)'!J12)*$AA$14*$J$5</f>
        <v>0</v>
      </c>
      <c r="K12" s="107">
        <f>('TPDA (2)'!K12)*$AA$14*$K$5</f>
        <v>0</v>
      </c>
      <c r="L12" s="107">
        <f>('TPDA (2)'!L12)*$AA$18*$L$5</f>
        <v>0</v>
      </c>
      <c r="M12" s="107">
        <f>('TPDA (2)'!M12)*$AA$18*$M$5</f>
        <v>0</v>
      </c>
      <c r="N12" s="107">
        <f>('TPDA (2)'!N12)*$AA$4*$N$5</f>
        <v>0</v>
      </c>
      <c r="O12" s="8">
        <f t="shared" si="0"/>
        <v>0</v>
      </c>
    </row>
    <row r="13" spans="1:27" x14ac:dyDescent="0.25">
      <c r="A13" s="5">
        <f t="shared" si="1"/>
        <v>2023</v>
      </c>
      <c r="B13" s="122"/>
      <c r="C13" s="7">
        <f>('TPDA (2)'!C13)*$AA$4*$C$5</f>
        <v>0</v>
      </c>
      <c r="D13" s="107">
        <f>('TPDA (2)'!D13)*$AA$4*$D$5</f>
        <v>0</v>
      </c>
      <c r="E13" s="107">
        <f>('TPDA (2)'!E13)*$AA$4*$E$5</f>
        <v>0</v>
      </c>
      <c r="F13" s="107">
        <f>('TPDA (2)'!F13)*$AA$9*$F$5</f>
        <v>0</v>
      </c>
      <c r="G13" s="107">
        <f>('TPDA (2)'!G13)*$AA$9*$G$5</f>
        <v>0</v>
      </c>
      <c r="H13" s="107">
        <f>('TPDA (2)'!H13)*$AA$9*$H$5</f>
        <v>0</v>
      </c>
      <c r="I13" s="107">
        <f>('TPDA (2)'!I13)*$AA$9*$I$5</f>
        <v>0</v>
      </c>
      <c r="J13" s="107">
        <f>('TPDA (2)'!J13)*$AA$14*$J$5</f>
        <v>0</v>
      </c>
      <c r="K13" s="107">
        <f>('TPDA (2)'!K13)*$AA$14*$K$5</f>
        <v>0</v>
      </c>
      <c r="L13" s="107">
        <f>('TPDA (2)'!L13)*$AA$18*$L$5</f>
        <v>0</v>
      </c>
      <c r="M13" s="107">
        <f>('TPDA (2)'!M13)*$AA$18*$M$5</f>
        <v>0</v>
      </c>
      <c r="N13" s="107">
        <f>('TPDA (2)'!N13)*$AA$4*$N$5</f>
        <v>0</v>
      </c>
      <c r="O13" s="8">
        <f t="shared" si="0"/>
        <v>0</v>
      </c>
    </row>
    <row r="14" spans="1:27" x14ac:dyDescent="0.25">
      <c r="A14" s="5">
        <f t="shared" si="1"/>
        <v>2024</v>
      </c>
      <c r="B14" s="122"/>
      <c r="C14" s="7">
        <f>('TPDA (2)'!C14)*$AA$4*$C$5</f>
        <v>0</v>
      </c>
      <c r="D14" s="107">
        <f>('TPDA (2)'!D14)*$AA$4*$D$5</f>
        <v>0</v>
      </c>
      <c r="E14" s="107">
        <f>('TPDA (2)'!E14)*$AA$4*$E$5</f>
        <v>0</v>
      </c>
      <c r="F14" s="107">
        <f>('TPDA (2)'!F14)*$AA$9*$F$5</f>
        <v>0</v>
      </c>
      <c r="G14" s="107">
        <f>('TPDA (2)'!G14)*$AA$9*$G$5</f>
        <v>0</v>
      </c>
      <c r="H14" s="107">
        <f>('TPDA (2)'!H14)*$AA$9*$H$5</f>
        <v>0</v>
      </c>
      <c r="I14" s="107">
        <f>('TPDA (2)'!I14)*$AA$9*$I$5</f>
        <v>0</v>
      </c>
      <c r="J14" s="107">
        <f>('TPDA (2)'!J14)*$AA$14*$J$5</f>
        <v>0</v>
      </c>
      <c r="K14" s="107">
        <f>('TPDA (2)'!K14)*$AA$14*$K$5</f>
        <v>0</v>
      </c>
      <c r="L14" s="107">
        <f>('TPDA (2)'!L14)*$AA$18*$L$5</f>
        <v>0</v>
      </c>
      <c r="M14" s="107">
        <f>('TPDA (2)'!M14)*$AA$18*$M$5</f>
        <v>0</v>
      </c>
      <c r="N14" s="107">
        <f>('TPDA (2)'!N14)*$AA$4*$N$5</f>
        <v>0</v>
      </c>
      <c r="O14" s="8">
        <f t="shared" si="0"/>
        <v>0</v>
      </c>
      <c r="AA14" s="74">
        <f>(17/15.08)^4.14</f>
        <v>1.6423926036156347</v>
      </c>
    </row>
    <row r="15" spans="1:27" x14ac:dyDescent="0.25">
      <c r="A15" s="5">
        <f t="shared" si="1"/>
        <v>2025</v>
      </c>
      <c r="B15" s="122"/>
      <c r="C15" s="7">
        <f>('TPDA (2)'!C15)*$AA$4*$C$5</f>
        <v>0</v>
      </c>
      <c r="D15" s="107">
        <f>('TPDA (2)'!D15)*$AA$4*$D$5</f>
        <v>0</v>
      </c>
      <c r="E15" s="107">
        <f>('TPDA (2)'!E15)*$AA$4*$E$5</f>
        <v>0</v>
      </c>
      <c r="F15" s="107">
        <f>('TPDA (2)'!F15)*$AA$9*$F$5</f>
        <v>0</v>
      </c>
      <c r="G15" s="107">
        <f>('TPDA (2)'!G15)*$AA$9*$G$5</f>
        <v>0</v>
      </c>
      <c r="H15" s="107">
        <f>('TPDA (2)'!H15)*$AA$9*$H$5</f>
        <v>0</v>
      </c>
      <c r="I15" s="107">
        <f>('TPDA (2)'!I15)*$AA$9*$I$5</f>
        <v>0</v>
      </c>
      <c r="J15" s="107">
        <f>('TPDA (2)'!J15)*$AA$14*$J$5</f>
        <v>0</v>
      </c>
      <c r="K15" s="107">
        <f>('TPDA (2)'!K15)*$AA$14*$K$5</f>
        <v>0</v>
      </c>
      <c r="L15" s="107">
        <f>('TPDA (2)'!L15)*$AA$18*$L$5</f>
        <v>0</v>
      </c>
      <c r="M15" s="107">
        <f>('TPDA (2)'!M15)*$AA$18*$M$5</f>
        <v>0</v>
      </c>
      <c r="N15" s="107">
        <f>('TPDA (2)'!N15)*$AA$4*$N$5</f>
        <v>0</v>
      </c>
      <c r="O15" s="8">
        <f t="shared" si="0"/>
        <v>0</v>
      </c>
    </row>
    <row r="16" spans="1:27" x14ac:dyDescent="0.25">
      <c r="A16" s="5">
        <f t="shared" si="1"/>
        <v>2026</v>
      </c>
      <c r="B16" s="122"/>
      <c r="C16" s="7">
        <f>('TPDA (2)'!C16)*$AA$4*$C$5</f>
        <v>0</v>
      </c>
      <c r="D16" s="107">
        <f>('TPDA (2)'!D16)*$AA$4*$D$5</f>
        <v>0</v>
      </c>
      <c r="E16" s="107">
        <f>('TPDA (2)'!E16)*$AA$4*$E$5</f>
        <v>0</v>
      </c>
      <c r="F16" s="107">
        <f>('TPDA (2)'!F16)*$AA$9*$F$5</f>
        <v>0</v>
      </c>
      <c r="G16" s="107">
        <f>('TPDA (2)'!G16)*$AA$9*$G$5</f>
        <v>0</v>
      </c>
      <c r="H16" s="107">
        <f>('TPDA (2)'!H16)*$AA$9*$H$5</f>
        <v>0</v>
      </c>
      <c r="I16" s="107">
        <f>('TPDA (2)'!I16)*$AA$9*$I$5</f>
        <v>0</v>
      </c>
      <c r="J16" s="107">
        <f>('TPDA (2)'!J16)*$AA$14*$J$5</f>
        <v>0</v>
      </c>
      <c r="K16" s="107">
        <f>('TPDA (2)'!K16)*$AA$14*$K$5</f>
        <v>0</v>
      </c>
      <c r="L16" s="107">
        <f>('TPDA (2)'!L16)*$AA$18*$L$5</f>
        <v>0</v>
      </c>
      <c r="M16" s="107">
        <f>('TPDA (2)'!M16)*$AA$18*$M$5</f>
        <v>0</v>
      </c>
      <c r="N16" s="107">
        <f>('TPDA (2)'!N16)*$AA$4*$N$5</f>
        <v>0</v>
      </c>
      <c r="O16" s="8">
        <f t="shared" si="0"/>
        <v>0</v>
      </c>
    </row>
    <row r="17" spans="1:27" x14ac:dyDescent="0.25">
      <c r="A17" s="5">
        <f t="shared" si="1"/>
        <v>2027</v>
      </c>
      <c r="B17" s="122"/>
      <c r="C17" s="7">
        <f>('TPDA (2)'!C17)*$AA$4*$C$5</f>
        <v>0</v>
      </c>
      <c r="D17" s="107">
        <f>('TPDA (2)'!D17)*$AA$4*$D$5</f>
        <v>0</v>
      </c>
      <c r="E17" s="107">
        <f>('TPDA (2)'!E17)*$AA$4*$E$5</f>
        <v>0</v>
      </c>
      <c r="F17" s="107">
        <f>('TPDA (2)'!F17)*$AA$9*$F$5</f>
        <v>0</v>
      </c>
      <c r="G17" s="107">
        <f>('TPDA (2)'!G17)*$AA$9*$G$5</f>
        <v>0</v>
      </c>
      <c r="H17" s="107">
        <f>('TPDA (2)'!H17)*$AA$9*$H$5</f>
        <v>0</v>
      </c>
      <c r="I17" s="107">
        <f>('TPDA (2)'!I17)*$AA$9*$I$5</f>
        <v>0</v>
      </c>
      <c r="J17" s="107">
        <f>('TPDA (2)'!J17)*$AA$14*$J$5</f>
        <v>0</v>
      </c>
      <c r="K17" s="107">
        <f>('TPDA (2)'!K17)*$AA$14*$K$5</f>
        <v>0</v>
      </c>
      <c r="L17" s="107">
        <f>('TPDA (2)'!L17)*$AA$18*$L$5</f>
        <v>0</v>
      </c>
      <c r="M17" s="107">
        <f>('TPDA (2)'!M17)*$AA$18*$M$5</f>
        <v>0</v>
      </c>
      <c r="N17" s="107">
        <f>('TPDA (2)'!N17)*$AA$4*$N$5</f>
        <v>0</v>
      </c>
      <c r="O17" s="8">
        <f t="shared" si="0"/>
        <v>0</v>
      </c>
    </row>
    <row r="18" spans="1:27" x14ac:dyDescent="0.25">
      <c r="A18" s="5">
        <f t="shared" si="1"/>
        <v>2028</v>
      </c>
      <c r="B18" s="122"/>
      <c r="C18" s="7">
        <f>('TPDA (2)'!C18)*$AA$4*$C$5</f>
        <v>0</v>
      </c>
      <c r="D18" s="107">
        <f>('TPDA (2)'!D18)*$AA$4*$D$5</f>
        <v>0</v>
      </c>
      <c r="E18" s="107">
        <f>('TPDA (2)'!E18)*$AA$4*$E$5</f>
        <v>0</v>
      </c>
      <c r="F18" s="107">
        <f>('TPDA (2)'!F18)*$AA$9*$F$5</f>
        <v>0</v>
      </c>
      <c r="G18" s="107">
        <f>('TPDA (2)'!G18)*$AA$9*$G$5</f>
        <v>0</v>
      </c>
      <c r="H18" s="107">
        <f>('TPDA (2)'!H18)*$AA$9*$H$5</f>
        <v>0</v>
      </c>
      <c r="I18" s="107">
        <f>('TPDA (2)'!I18)*$AA$9*$I$5</f>
        <v>0</v>
      </c>
      <c r="J18" s="107">
        <f>('TPDA (2)'!J18)*$AA$14*$J$5</f>
        <v>0</v>
      </c>
      <c r="K18" s="107">
        <f>('TPDA (2)'!K18)*$AA$14*$K$5</f>
        <v>0</v>
      </c>
      <c r="L18" s="107">
        <f>('TPDA (2)'!L18)*$AA$18*$L$5</f>
        <v>0</v>
      </c>
      <c r="M18" s="107">
        <f>('TPDA (2)'!M18)*$AA$18*$M$5</f>
        <v>0</v>
      </c>
      <c r="N18" s="107">
        <f>('TPDA (2)'!N18)*$AA$4*$N$5</f>
        <v>0</v>
      </c>
      <c r="O18" s="8">
        <f t="shared" si="0"/>
        <v>0</v>
      </c>
      <c r="AA18" s="75">
        <f>(22/22.98)^4.22</f>
        <v>0.83200629137320314</v>
      </c>
    </row>
    <row r="19" spans="1:27" x14ac:dyDescent="0.25">
      <c r="A19" s="5">
        <f t="shared" si="1"/>
        <v>2029</v>
      </c>
      <c r="B19" s="122"/>
      <c r="C19" s="7">
        <f>('TPDA (2)'!C19)*$AA$4*$C$5</f>
        <v>0</v>
      </c>
      <c r="D19" s="107">
        <f>('TPDA (2)'!D19)*$AA$4*$D$5</f>
        <v>0</v>
      </c>
      <c r="E19" s="107">
        <f>('TPDA (2)'!E19)*$AA$4*$E$5</f>
        <v>0</v>
      </c>
      <c r="F19" s="107">
        <f>('TPDA (2)'!F19)*$AA$9*$F$5</f>
        <v>0</v>
      </c>
      <c r="G19" s="107">
        <f>('TPDA (2)'!G19)*$AA$9*$G$5</f>
        <v>0</v>
      </c>
      <c r="H19" s="107">
        <f>('TPDA (2)'!H19)*$AA$9*$H$5</f>
        <v>0</v>
      </c>
      <c r="I19" s="107">
        <f>('TPDA (2)'!I19)*$AA$9*$I$5</f>
        <v>0</v>
      </c>
      <c r="J19" s="107">
        <f>('TPDA (2)'!J19)*$AA$14*$J$5</f>
        <v>0</v>
      </c>
      <c r="K19" s="107">
        <f>('TPDA (2)'!K19)*$AA$14*$K$5</f>
        <v>0</v>
      </c>
      <c r="L19" s="107">
        <f>('TPDA (2)'!L19)*$AA$18*$L$5</f>
        <v>0</v>
      </c>
      <c r="M19" s="107">
        <f>('TPDA (2)'!M19)*$AA$18*$M$5</f>
        <v>0</v>
      </c>
      <c r="N19" s="107">
        <f>('TPDA (2)'!N19)*$AA$4*$N$5</f>
        <v>0</v>
      </c>
      <c r="O19" s="8">
        <f t="shared" si="0"/>
        <v>0</v>
      </c>
    </row>
    <row r="20" spans="1:27" x14ac:dyDescent="0.25">
      <c r="A20" s="5">
        <f t="shared" si="1"/>
        <v>2030</v>
      </c>
      <c r="B20" s="122"/>
      <c r="C20" s="7">
        <f>('TPDA (2)'!C20)*$AA$4*$C$5</f>
        <v>0</v>
      </c>
      <c r="D20" s="107">
        <f>('TPDA (2)'!D20)*$AA$4*$D$5</f>
        <v>0</v>
      </c>
      <c r="E20" s="107">
        <f>('TPDA (2)'!E20)*$AA$4*$E$5</f>
        <v>0</v>
      </c>
      <c r="F20" s="107">
        <f>('TPDA (2)'!F20)*$AA$9*$F$5</f>
        <v>0</v>
      </c>
      <c r="G20" s="107">
        <f>('TPDA (2)'!G20)*$AA$9*$G$5</f>
        <v>0</v>
      </c>
      <c r="H20" s="107">
        <f>('TPDA (2)'!H20)*$AA$9*$H$5</f>
        <v>0</v>
      </c>
      <c r="I20" s="107">
        <f>('TPDA (2)'!I20)*$AA$9*$I$5</f>
        <v>0</v>
      </c>
      <c r="J20" s="107">
        <f>('TPDA (2)'!J20)*$AA$14*$J$5</f>
        <v>0</v>
      </c>
      <c r="K20" s="107">
        <f>('TPDA (2)'!K20)*$AA$14*$K$5</f>
        <v>0</v>
      </c>
      <c r="L20" s="107">
        <f>('TPDA (2)'!L20)*$AA$18*$L$5</f>
        <v>0</v>
      </c>
      <c r="M20" s="107">
        <f>('TPDA (2)'!M20)*$AA$18*$M$5</f>
        <v>0</v>
      </c>
      <c r="N20" s="107">
        <f>('TPDA (2)'!N20)*$AA$4*$N$5</f>
        <v>0</v>
      </c>
      <c r="O20" s="8">
        <f t="shared" si="0"/>
        <v>0</v>
      </c>
    </row>
    <row r="21" spans="1:27" x14ac:dyDescent="0.25">
      <c r="A21" s="5">
        <f t="shared" si="1"/>
        <v>2031</v>
      </c>
      <c r="B21" s="122"/>
      <c r="C21" s="7">
        <f>('TPDA (2)'!C21)*$AA$4*$C$5</f>
        <v>0</v>
      </c>
      <c r="D21" s="107">
        <f>('TPDA (2)'!D21)*$AA$4*$D$5</f>
        <v>0</v>
      </c>
      <c r="E21" s="107">
        <f>('TPDA (2)'!E21)*$AA$4*$E$5</f>
        <v>0</v>
      </c>
      <c r="F21" s="107">
        <f>('TPDA (2)'!F21)*$AA$9*$F$5</f>
        <v>0</v>
      </c>
      <c r="G21" s="107">
        <f>('TPDA (2)'!G21)*$AA$9*$G$5</f>
        <v>0</v>
      </c>
      <c r="H21" s="107">
        <f>('TPDA (2)'!H21)*$AA$9*$H$5</f>
        <v>0</v>
      </c>
      <c r="I21" s="107">
        <f>('TPDA (2)'!I21)*$AA$9*$I$5</f>
        <v>0</v>
      </c>
      <c r="J21" s="107">
        <f>('TPDA (2)'!J21)*$AA$14*$J$5</f>
        <v>0</v>
      </c>
      <c r="K21" s="107">
        <f>('TPDA (2)'!K21)*$AA$14*$K$5</f>
        <v>0</v>
      </c>
      <c r="L21" s="107">
        <f>('TPDA (2)'!L21)*$AA$18*$L$5</f>
        <v>0</v>
      </c>
      <c r="M21" s="107">
        <f>('TPDA (2)'!M21)*$AA$18*$M$5</f>
        <v>0</v>
      </c>
      <c r="N21" s="107">
        <f>('TPDA (2)'!N21)*$AA$4*$N$5</f>
        <v>0</v>
      </c>
      <c r="O21" s="8">
        <f t="shared" si="0"/>
        <v>0</v>
      </c>
    </row>
    <row r="22" spans="1:27" x14ac:dyDescent="0.25">
      <c r="A22" s="5">
        <f t="shared" si="1"/>
        <v>2032</v>
      </c>
      <c r="B22" s="122"/>
      <c r="C22" s="7">
        <f>('TPDA (2)'!C22)*$AA$4*$C$5</f>
        <v>0</v>
      </c>
      <c r="D22" s="107">
        <f>('TPDA (2)'!D22)*$AA$4*$D$5</f>
        <v>0</v>
      </c>
      <c r="E22" s="107">
        <f>('TPDA (2)'!E22)*$AA$4*$E$5</f>
        <v>0</v>
      </c>
      <c r="F22" s="107">
        <f>('TPDA (2)'!F22)*$AA$9*$F$5</f>
        <v>0</v>
      </c>
      <c r="G22" s="107">
        <f>('TPDA (2)'!G22)*$AA$9*$G$5</f>
        <v>0</v>
      </c>
      <c r="H22" s="107">
        <f>('TPDA (2)'!H22)*$AA$9*$H$5</f>
        <v>0</v>
      </c>
      <c r="I22" s="107">
        <f>('TPDA (2)'!I22)*$AA$9*$I$5</f>
        <v>0</v>
      </c>
      <c r="J22" s="107">
        <f>('TPDA (2)'!J22)*$AA$14*$J$5</f>
        <v>0</v>
      </c>
      <c r="K22" s="107">
        <f>('TPDA (2)'!K22)*$AA$14*$K$5</f>
        <v>0</v>
      </c>
      <c r="L22" s="107">
        <f>('TPDA (2)'!L22)*$AA$18*$L$5</f>
        <v>0</v>
      </c>
      <c r="M22" s="107">
        <f>('TPDA (2)'!M22)*$AA$18*$M$5</f>
        <v>0</v>
      </c>
      <c r="N22" s="107">
        <f>('TPDA (2)'!N22)*$AA$4*$N$5</f>
        <v>0</v>
      </c>
      <c r="O22" s="8">
        <f t="shared" si="0"/>
        <v>0</v>
      </c>
    </row>
    <row r="23" spans="1:27" x14ac:dyDescent="0.25">
      <c r="A23" s="5">
        <f t="shared" si="1"/>
        <v>2033</v>
      </c>
      <c r="B23" s="122"/>
      <c r="C23" s="7">
        <f>('TPDA (2)'!C23)*$AA$4*$C$5</f>
        <v>0</v>
      </c>
      <c r="D23" s="107">
        <f>('TPDA (2)'!D23)*$AA$4*$D$5</f>
        <v>0</v>
      </c>
      <c r="E23" s="107">
        <f>('TPDA (2)'!E23)*$AA$4*$E$5</f>
        <v>0</v>
      </c>
      <c r="F23" s="107">
        <f>('TPDA (2)'!F23)*$AA$9*$F$5</f>
        <v>0</v>
      </c>
      <c r="G23" s="107">
        <f>('TPDA (2)'!G23)*$AA$9*$G$5</f>
        <v>0</v>
      </c>
      <c r="H23" s="107">
        <f>('TPDA (2)'!H23)*$AA$9*$H$5</f>
        <v>0</v>
      </c>
      <c r="I23" s="107">
        <f>('TPDA (2)'!I23)*$AA$9*$I$5</f>
        <v>0</v>
      </c>
      <c r="J23" s="107">
        <f>('TPDA (2)'!J23)*$AA$14*$J$5</f>
        <v>0</v>
      </c>
      <c r="K23" s="107">
        <f>('TPDA (2)'!K23)*$AA$14*$K$5</f>
        <v>0</v>
      </c>
      <c r="L23" s="107">
        <f>('TPDA (2)'!L23)*$AA$18*$L$5</f>
        <v>0</v>
      </c>
      <c r="M23" s="107">
        <f>('TPDA (2)'!M23)*$AA$18*$M$5</f>
        <v>0</v>
      </c>
      <c r="N23" s="107">
        <f>('TPDA (2)'!N23)*$AA$4*$N$5</f>
        <v>0</v>
      </c>
      <c r="O23" s="8">
        <f t="shared" si="0"/>
        <v>0</v>
      </c>
    </row>
    <row r="24" spans="1:27" x14ac:dyDescent="0.25">
      <c r="A24" s="5">
        <f t="shared" si="1"/>
        <v>2034</v>
      </c>
      <c r="B24" s="122"/>
      <c r="C24" s="7">
        <f>('TPDA (2)'!C24)*$AA$4*$C$5</f>
        <v>0</v>
      </c>
      <c r="D24" s="107">
        <f>('TPDA (2)'!D24)*$AA$4*$D$5</f>
        <v>0</v>
      </c>
      <c r="E24" s="107">
        <f>('TPDA (2)'!E24)*$AA$4*$E$5</f>
        <v>0</v>
      </c>
      <c r="F24" s="107">
        <f>('TPDA (2)'!F24)*$AA$9*$F$5</f>
        <v>0</v>
      </c>
      <c r="G24" s="107">
        <f>('TPDA (2)'!G24)*$AA$9*$G$5</f>
        <v>0</v>
      </c>
      <c r="H24" s="107">
        <f>('TPDA (2)'!H24)*$AA$9*$H$5</f>
        <v>0</v>
      </c>
      <c r="I24" s="107">
        <f>('TPDA (2)'!I24)*$AA$9*$I$5</f>
        <v>0</v>
      </c>
      <c r="J24" s="107">
        <f>('TPDA (2)'!J24)*$AA$14*$J$5</f>
        <v>0</v>
      </c>
      <c r="K24" s="107">
        <f>('TPDA (2)'!K24)*$AA$14*$K$5</f>
        <v>0</v>
      </c>
      <c r="L24" s="107">
        <f>('TPDA (2)'!L24)*$AA$18*$L$5</f>
        <v>0</v>
      </c>
      <c r="M24" s="107">
        <f>('TPDA (2)'!M24)*$AA$18*$M$5</f>
        <v>0</v>
      </c>
      <c r="N24" s="107">
        <f>('TPDA (2)'!N24)*$AA$4*$N$5</f>
        <v>0</v>
      </c>
      <c r="O24" s="8">
        <f t="shared" si="0"/>
        <v>0</v>
      </c>
    </row>
    <row r="25" spans="1:27" x14ac:dyDescent="0.25">
      <c r="A25" s="5">
        <f t="shared" si="1"/>
        <v>2035</v>
      </c>
      <c r="B25" s="122"/>
      <c r="C25" s="7">
        <f>('TPDA (2)'!C25)*$AA$4*$C$5</f>
        <v>0</v>
      </c>
      <c r="D25" s="107">
        <f>('TPDA (2)'!D25)*$AA$4*$D$5</f>
        <v>0</v>
      </c>
      <c r="E25" s="107">
        <f>('TPDA (2)'!E25)*$AA$4*$E$5</f>
        <v>0</v>
      </c>
      <c r="F25" s="107">
        <f>('TPDA (2)'!F25)*$AA$9*$F$5</f>
        <v>0</v>
      </c>
      <c r="G25" s="107">
        <f>('TPDA (2)'!G25)*$AA$9*$G$5</f>
        <v>0</v>
      </c>
      <c r="H25" s="107">
        <f>('TPDA (2)'!H25)*$AA$9*$H$5</f>
        <v>0</v>
      </c>
      <c r="I25" s="107">
        <f>('TPDA (2)'!I25)*$AA$9*$I$5</f>
        <v>0</v>
      </c>
      <c r="J25" s="107">
        <f>('TPDA (2)'!J25)*$AA$14*$J$5</f>
        <v>0</v>
      </c>
      <c r="K25" s="107">
        <f>('TPDA (2)'!K25)*$AA$14*$K$5</f>
        <v>0</v>
      </c>
      <c r="L25" s="107">
        <f>('TPDA (2)'!L25)*$AA$18*$L$5</f>
        <v>0</v>
      </c>
      <c r="M25" s="107">
        <f>('TPDA (2)'!M25)*$AA$18*$M$5</f>
        <v>0</v>
      </c>
      <c r="N25" s="107">
        <f>('TPDA (2)'!N25)*$AA$4*$N$5</f>
        <v>0</v>
      </c>
      <c r="O25" s="8">
        <f t="shared" si="0"/>
        <v>0</v>
      </c>
    </row>
    <row r="26" spans="1:27" x14ac:dyDescent="0.25">
      <c r="A26" s="5">
        <f t="shared" si="1"/>
        <v>2036</v>
      </c>
      <c r="B26" s="122"/>
      <c r="C26" s="7">
        <f>('TPDA (2)'!C26)*$AA$4*$C$5</f>
        <v>0</v>
      </c>
      <c r="D26" s="107">
        <f>('TPDA (2)'!D26)*$AA$4*$D$5</f>
        <v>0</v>
      </c>
      <c r="E26" s="107">
        <f>('TPDA (2)'!E26)*$AA$4*$E$5</f>
        <v>0</v>
      </c>
      <c r="F26" s="107">
        <f>('TPDA (2)'!F26)*$AA$9*$F$5</f>
        <v>0</v>
      </c>
      <c r="G26" s="107">
        <f>('TPDA (2)'!G26)*$AA$9*$G$5</f>
        <v>0</v>
      </c>
      <c r="H26" s="107">
        <f>('TPDA (2)'!H26)*$AA$9*$H$5</f>
        <v>0</v>
      </c>
      <c r="I26" s="107">
        <f>('TPDA (2)'!I26)*$AA$9*$I$5</f>
        <v>0</v>
      </c>
      <c r="J26" s="107">
        <f>('TPDA (2)'!J26)*$AA$14*$J$5</f>
        <v>0</v>
      </c>
      <c r="K26" s="107">
        <f>('TPDA (2)'!K26)*$AA$14*$K$5</f>
        <v>0</v>
      </c>
      <c r="L26" s="107">
        <f>('TPDA (2)'!L26)*$AA$18*$L$5</f>
        <v>0</v>
      </c>
      <c r="M26" s="107">
        <f>('TPDA (2)'!M26)*$AA$18*$M$5</f>
        <v>0</v>
      </c>
      <c r="N26" s="107">
        <f>('TPDA (2)'!N26)*$AA$4*$N$5</f>
        <v>0</v>
      </c>
      <c r="O26" s="8">
        <f t="shared" si="0"/>
        <v>0</v>
      </c>
    </row>
    <row r="27" spans="1:27" x14ac:dyDescent="0.25">
      <c r="A27" s="5">
        <f t="shared" si="1"/>
        <v>2037</v>
      </c>
      <c r="B27" s="122"/>
      <c r="C27" s="7">
        <f>('TPDA (2)'!C27)*$AA$4*$C$5</f>
        <v>0</v>
      </c>
      <c r="D27" s="107">
        <f>('TPDA (2)'!D27)*$AA$4*$D$5</f>
        <v>0</v>
      </c>
      <c r="E27" s="107">
        <f>('TPDA (2)'!E27)*$AA$4*$E$5</f>
        <v>0</v>
      </c>
      <c r="F27" s="107">
        <f>('TPDA (2)'!F27)*$AA$9*$F$5</f>
        <v>0</v>
      </c>
      <c r="G27" s="107">
        <f>('TPDA (2)'!G27)*$AA$9*$G$5</f>
        <v>0</v>
      </c>
      <c r="H27" s="107">
        <f>('TPDA (2)'!H27)*$AA$9*$H$5</f>
        <v>0</v>
      </c>
      <c r="I27" s="107">
        <f>('TPDA (2)'!I27)*$AA$9*$I$5</f>
        <v>0</v>
      </c>
      <c r="J27" s="107">
        <f>('TPDA (2)'!J27)*$AA$14*$J$5</f>
        <v>0</v>
      </c>
      <c r="K27" s="107">
        <f>('TPDA (2)'!K27)*$AA$14*$K$5</f>
        <v>0</v>
      </c>
      <c r="L27" s="107">
        <f>('TPDA (2)'!L27)*$AA$18*$L$5</f>
        <v>0</v>
      </c>
      <c r="M27" s="107">
        <f>('TPDA (2)'!M27)*$AA$18*$M$5</f>
        <v>0</v>
      </c>
      <c r="N27" s="107">
        <f>('TPDA (2)'!N27)*$AA$4*$N$5</f>
        <v>0</v>
      </c>
      <c r="O27" s="8">
        <f t="shared" si="0"/>
        <v>0</v>
      </c>
    </row>
    <row r="28" spans="1:27" x14ac:dyDescent="0.25">
      <c r="A28" s="5">
        <f t="shared" si="1"/>
        <v>2038</v>
      </c>
      <c r="B28" s="122"/>
      <c r="C28" s="7">
        <f>('TPDA (2)'!C28)*$AA$4*$C$5</f>
        <v>0</v>
      </c>
      <c r="D28" s="107">
        <f>('TPDA (2)'!D28)*$AA$4*$D$5</f>
        <v>0</v>
      </c>
      <c r="E28" s="107">
        <f>('TPDA (2)'!E28)*$AA$4*$E$5</f>
        <v>0</v>
      </c>
      <c r="F28" s="107">
        <f>('TPDA (2)'!F28)*$AA$9*$F$5</f>
        <v>0</v>
      </c>
      <c r="G28" s="107">
        <f>('TPDA (2)'!G28)*$AA$9*$G$5</f>
        <v>0</v>
      </c>
      <c r="H28" s="107">
        <f>('TPDA (2)'!H28)*$AA$9*$H$5</f>
        <v>0</v>
      </c>
      <c r="I28" s="107">
        <f>('TPDA (2)'!I28)*$AA$9*$I$5</f>
        <v>0</v>
      </c>
      <c r="J28" s="107">
        <f>('TPDA (2)'!J28)*$AA$14*$J$5</f>
        <v>0</v>
      </c>
      <c r="K28" s="107">
        <f>('TPDA (2)'!K28)*$AA$14*$K$5</f>
        <v>0</v>
      </c>
      <c r="L28" s="107">
        <f>('TPDA (2)'!L28)*$AA$18*$L$5</f>
        <v>0</v>
      </c>
      <c r="M28" s="107">
        <f>('TPDA (2)'!M28)*$AA$18*$M$5</f>
        <v>0</v>
      </c>
      <c r="N28" s="107">
        <f>('TPDA (2)'!N28)*$AA$4*$N$5</f>
        <v>0</v>
      </c>
      <c r="O28" s="8">
        <f t="shared" si="0"/>
        <v>0</v>
      </c>
    </row>
    <row r="29" spans="1:27" x14ac:dyDescent="0.25">
      <c r="A29" s="5">
        <f t="shared" si="1"/>
        <v>2039</v>
      </c>
      <c r="B29" s="122"/>
      <c r="C29" s="7">
        <f>('TPDA (2)'!C29)*$AA$4*$C$5</f>
        <v>0</v>
      </c>
      <c r="D29" s="107">
        <f>('TPDA (2)'!D29)*$AA$4*$D$5</f>
        <v>0</v>
      </c>
      <c r="E29" s="107">
        <f>('TPDA (2)'!E29)*$AA$4*$E$5</f>
        <v>0</v>
      </c>
      <c r="F29" s="107">
        <f>('TPDA (2)'!F29)*$AA$9*$F$5</f>
        <v>0</v>
      </c>
      <c r="G29" s="107">
        <f>('TPDA (2)'!G29)*$AA$9*$G$5</f>
        <v>0</v>
      </c>
      <c r="H29" s="107">
        <f>('TPDA (2)'!H29)*$AA$9*$H$5</f>
        <v>0</v>
      </c>
      <c r="I29" s="107">
        <f>('TPDA (2)'!I29)*$AA$9*$I$5</f>
        <v>0</v>
      </c>
      <c r="J29" s="107">
        <f>('TPDA (2)'!J29)*$AA$14*$J$5</f>
        <v>0</v>
      </c>
      <c r="K29" s="107">
        <f>('TPDA (2)'!K29)*$AA$14*$K$5</f>
        <v>0</v>
      </c>
      <c r="L29" s="107">
        <f>('TPDA (2)'!L29)*$AA$18*$L$5</f>
        <v>0</v>
      </c>
      <c r="M29" s="107">
        <f>('TPDA (2)'!M29)*$AA$18*$M$5</f>
        <v>0</v>
      </c>
      <c r="N29" s="107">
        <f>('TPDA (2)'!N29)*$AA$4*$N$5</f>
        <v>0</v>
      </c>
      <c r="O29" s="8">
        <f t="shared" si="0"/>
        <v>0</v>
      </c>
    </row>
    <row r="30" spans="1:27" x14ac:dyDescent="0.25">
      <c r="A30" s="5">
        <f t="shared" si="1"/>
        <v>2040</v>
      </c>
      <c r="B30" s="122"/>
      <c r="C30" s="7">
        <f>('TPDA (2)'!C30)*$AA$4*$C$5</f>
        <v>0</v>
      </c>
      <c r="D30" s="107">
        <f>('TPDA (2)'!D30)*$AA$4*$D$5</f>
        <v>0</v>
      </c>
      <c r="E30" s="107">
        <f>('TPDA (2)'!E30)*$AA$4*$E$5</f>
        <v>0</v>
      </c>
      <c r="F30" s="107">
        <f>('TPDA (2)'!F30)*$AA$9*$F$5</f>
        <v>0</v>
      </c>
      <c r="G30" s="107">
        <f>('TPDA (2)'!G30)*$AA$9*$G$5</f>
        <v>0</v>
      </c>
      <c r="H30" s="107">
        <f>('TPDA (2)'!H30)*$AA$9*$H$5</f>
        <v>0</v>
      </c>
      <c r="I30" s="107">
        <f>('TPDA (2)'!I30)*$AA$9*$I$5</f>
        <v>0</v>
      </c>
      <c r="J30" s="107">
        <f>('TPDA (2)'!J30)*$AA$14*$J$5</f>
        <v>0</v>
      </c>
      <c r="K30" s="107">
        <f>('TPDA (2)'!K30)*$AA$14*$K$5</f>
        <v>0</v>
      </c>
      <c r="L30" s="107">
        <f>('TPDA (2)'!L30)*$AA$18*$L$5</f>
        <v>0</v>
      </c>
      <c r="M30" s="107">
        <f>('TPDA (2)'!M30)*$AA$18*$M$5</f>
        <v>0</v>
      </c>
      <c r="N30" s="107">
        <f>('TPDA (2)'!N30)*$AA$4*$N$5</f>
        <v>0</v>
      </c>
      <c r="O30" s="8">
        <f t="shared" si="0"/>
        <v>0</v>
      </c>
    </row>
    <row r="31" spans="1:27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 t="s">
        <v>111</v>
      </c>
    </row>
    <row r="32" spans="1:27" x14ac:dyDescent="0.25">
      <c r="A32" s="9"/>
      <c r="B32" s="9"/>
      <c r="C32" s="9">
        <f>(C7*C5)+C6</f>
        <v>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x14ac:dyDescent="0.25">
      <c r="A33" s="10" t="s">
        <v>21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 x14ac:dyDescent="0.25">
      <c r="A34" s="11" t="s">
        <v>22</v>
      </c>
      <c r="B34" s="12"/>
      <c r="C34" s="12"/>
      <c r="D34" s="12"/>
      <c r="E34" s="11" t="s">
        <v>23</v>
      </c>
      <c r="F34" s="12"/>
      <c r="G34" s="12"/>
      <c r="H34" s="12"/>
      <c r="I34" s="12"/>
      <c r="J34" s="11" t="s">
        <v>24</v>
      </c>
      <c r="K34" s="12"/>
      <c r="L34" s="12"/>
      <c r="M34" s="12"/>
      <c r="N34" s="12"/>
      <c r="O34" s="9"/>
    </row>
    <row r="35" spans="1:15" x14ac:dyDescent="0.25">
      <c r="A35" s="11" t="s">
        <v>25</v>
      </c>
      <c r="B35" s="12"/>
      <c r="C35" s="12"/>
      <c r="D35" s="12"/>
      <c r="E35" s="11" t="s">
        <v>26</v>
      </c>
      <c r="F35" s="12"/>
      <c r="G35" s="12"/>
      <c r="H35" s="12"/>
      <c r="I35" s="12"/>
      <c r="J35" s="11" t="s">
        <v>27</v>
      </c>
      <c r="K35" s="12"/>
      <c r="L35" s="12"/>
      <c r="M35" s="12"/>
      <c r="N35" s="12"/>
      <c r="O35" s="9"/>
    </row>
    <row r="36" spans="1:15" x14ac:dyDescent="0.25">
      <c r="A36" s="11" t="s">
        <v>28</v>
      </c>
      <c r="B36" s="12"/>
      <c r="C36" s="12"/>
      <c r="D36" s="12"/>
      <c r="E36" s="11" t="s">
        <v>29</v>
      </c>
      <c r="F36" s="12"/>
      <c r="G36" s="12"/>
      <c r="H36" s="12"/>
      <c r="I36" s="12"/>
      <c r="J36" s="11" t="s">
        <v>30</v>
      </c>
      <c r="K36" s="12"/>
      <c r="L36" s="12"/>
      <c r="M36" s="12"/>
      <c r="N36" s="12"/>
      <c r="O36" s="9"/>
    </row>
    <row r="37" spans="1:15" x14ac:dyDescent="0.25">
      <c r="A37" s="11" t="s">
        <v>31</v>
      </c>
      <c r="B37" s="12"/>
      <c r="C37" s="12"/>
      <c r="D37" s="12"/>
      <c r="E37" s="11" t="s">
        <v>32</v>
      </c>
      <c r="F37" s="12"/>
      <c r="G37" s="12"/>
      <c r="H37" s="12"/>
      <c r="I37" s="12"/>
      <c r="J37" s="11" t="s">
        <v>33</v>
      </c>
      <c r="K37" s="12"/>
      <c r="L37" s="12"/>
      <c r="M37" s="12"/>
      <c r="N37" s="12"/>
      <c r="O37" s="9"/>
    </row>
  </sheetData>
  <mergeCells count="5">
    <mergeCell ref="C1:N1"/>
    <mergeCell ref="O1:O5"/>
    <mergeCell ref="A2:A5"/>
    <mergeCell ref="B9:B11"/>
    <mergeCell ref="B12:B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7"/>
  <sheetViews>
    <sheetView topLeftCell="A10" zoomScaleNormal="100" workbookViewId="0">
      <selection activeCell="C5" sqref="C5:N5"/>
    </sheetView>
  </sheetViews>
  <sheetFormatPr baseColWidth="10" defaultColWidth="11.42578125" defaultRowHeight="15" x14ac:dyDescent="0.25"/>
  <cols>
    <col min="1" max="2" width="11.42578125" style="37"/>
    <col min="3" max="3" width="12.5703125" style="37" bestFit="1" customWidth="1"/>
    <col min="4" max="16384" width="11.42578125" style="37"/>
  </cols>
  <sheetData>
    <row r="1" spans="1:16" x14ac:dyDescent="0.25">
      <c r="A1" s="43"/>
      <c r="B1" s="43"/>
      <c r="C1" s="108" t="s">
        <v>34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9" t="s">
        <v>0</v>
      </c>
    </row>
    <row r="2" spans="1:16" x14ac:dyDescent="0.25">
      <c r="A2" s="111" t="s">
        <v>1</v>
      </c>
      <c r="B2" s="44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5" t="s">
        <v>8</v>
      </c>
      <c r="I2" s="45" t="s">
        <v>9</v>
      </c>
      <c r="J2" s="45" t="s">
        <v>10</v>
      </c>
      <c r="K2" s="45" t="s">
        <v>11</v>
      </c>
      <c r="L2" s="45" t="s">
        <v>12</v>
      </c>
      <c r="M2" s="45" t="s">
        <v>13</v>
      </c>
      <c r="N2" s="45" t="s">
        <v>14</v>
      </c>
      <c r="O2" s="110"/>
    </row>
    <row r="3" spans="1:16" x14ac:dyDescent="0.25">
      <c r="A3" s="111"/>
      <c r="B3" s="44" t="s">
        <v>15</v>
      </c>
      <c r="C3" s="45">
        <f>CONSOLIDADO!B36/2</f>
        <v>0</v>
      </c>
      <c r="D3" s="45">
        <f>CONSOLIDADO!C36/2</f>
        <v>0</v>
      </c>
      <c r="E3" s="45">
        <f>CONSOLIDADO!D36/2</f>
        <v>0</v>
      </c>
      <c r="F3" s="45">
        <f>CONSOLIDADO!E36/2</f>
        <v>0</v>
      </c>
      <c r="G3" s="45">
        <f>CONSOLIDADO!F36/2</f>
        <v>0</v>
      </c>
      <c r="H3" s="45">
        <f>CONSOLIDADO!G36/2</f>
        <v>0</v>
      </c>
      <c r="I3" s="45">
        <f>CONSOLIDADO!H36/2</f>
        <v>0</v>
      </c>
      <c r="J3" s="45">
        <f>CONSOLIDADO!I36/2</f>
        <v>0</v>
      </c>
      <c r="K3" s="45">
        <f>CONSOLIDADO!J36/2</f>
        <v>0</v>
      </c>
      <c r="L3" s="45">
        <f>CONSOLIDADO!K36/2</f>
        <v>0</v>
      </c>
      <c r="M3" s="45">
        <f>CONSOLIDADO!L36/2</f>
        <v>0</v>
      </c>
      <c r="N3" s="45">
        <f>CONSOLIDADO!M36/2</f>
        <v>0</v>
      </c>
      <c r="O3" s="110"/>
    </row>
    <row r="4" spans="1:16" x14ac:dyDescent="0.25">
      <c r="A4" s="111"/>
      <c r="B4" s="46" t="s">
        <v>16</v>
      </c>
      <c r="C4" s="52">
        <v>1.151</v>
      </c>
      <c r="D4" s="52">
        <v>1.151</v>
      </c>
      <c r="E4" s="52">
        <v>1.151</v>
      </c>
      <c r="F4" s="52">
        <v>1.151</v>
      </c>
      <c r="G4" s="52">
        <v>1.151</v>
      </c>
      <c r="H4" s="52">
        <v>1.151</v>
      </c>
      <c r="I4" s="52">
        <v>1.151</v>
      </c>
      <c r="J4" s="52">
        <v>1.151</v>
      </c>
      <c r="K4" s="52">
        <v>1.151</v>
      </c>
      <c r="L4" s="52">
        <v>1.151</v>
      </c>
      <c r="M4" s="52">
        <v>1.151</v>
      </c>
      <c r="N4" s="52">
        <v>1.151</v>
      </c>
      <c r="O4" s="110"/>
    </row>
    <row r="5" spans="1:16" x14ac:dyDescent="0.25">
      <c r="A5" s="111"/>
      <c r="B5" s="47" t="s">
        <v>86</v>
      </c>
      <c r="C5" s="81">
        <v>0.10440000000000001</v>
      </c>
      <c r="D5" s="81">
        <v>0.10440000000000001</v>
      </c>
      <c r="E5" s="81">
        <v>0.10440000000000001</v>
      </c>
      <c r="F5" s="81">
        <v>0.10440000000000001</v>
      </c>
      <c r="G5" s="81">
        <v>0.10440000000000001</v>
      </c>
      <c r="H5" s="81">
        <v>0.10440000000000001</v>
      </c>
      <c r="I5" s="81">
        <v>0.10440000000000001</v>
      </c>
      <c r="J5" s="81">
        <v>0.10440000000000001</v>
      </c>
      <c r="K5" s="81">
        <v>0.10440000000000001</v>
      </c>
      <c r="L5" s="81">
        <v>0.10440000000000001</v>
      </c>
      <c r="M5" s="81">
        <v>0.10440000000000001</v>
      </c>
      <c r="N5" s="81">
        <v>0.10440000000000001</v>
      </c>
      <c r="O5" s="110"/>
    </row>
    <row r="6" spans="1:16" x14ac:dyDescent="0.25">
      <c r="A6" s="8">
        <v>2020</v>
      </c>
      <c r="B6" s="68" t="s">
        <v>91</v>
      </c>
      <c r="C6" s="7">
        <f>C3</f>
        <v>0</v>
      </c>
      <c r="D6" s="7">
        <f>D3</f>
        <v>0</v>
      </c>
      <c r="E6" s="7">
        <f t="shared" ref="E6:N6" si="0">E3</f>
        <v>0</v>
      </c>
      <c r="F6" s="7">
        <f t="shared" si="0"/>
        <v>0</v>
      </c>
      <c r="G6" s="7">
        <f t="shared" si="0"/>
        <v>0</v>
      </c>
      <c r="H6" s="7">
        <f t="shared" si="0"/>
        <v>0</v>
      </c>
      <c r="I6" s="7">
        <f t="shared" si="0"/>
        <v>0</v>
      </c>
      <c r="J6" s="7">
        <f t="shared" si="0"/>
        <v>0</v>
      </c>
      <c r="K6" s="7">
        <f t="shared" si="0"/>
        <v>0</v>
      </c>
      <c r="L6" s="7">
        <f t="shared" si="0"/>
        <v>0</v>
      </c>
      <c r="M6" s="7">
        <f t="shared" si="0"/>
        <v>0</v>
      </c>
      <c r="N6" s="7">
        <f t="shared" si="0"/>
        <v>0</v>
      </c>
      <c r="O6" s="8">
        <f>SUM(C6:N6)</f>
        <v>0</v>
      </c>
      <c r="P6" s="37">
        <f>O6*365</f>
        <v>0</v>
      </c>
    </row>
    <row r="7" spans="1:16" x14ac:dyDescent="0.25">
      <c r="A7" s="8">
        <f>+A6+1</f>
        <v>2021</v>
      </c>
      <c r="B7" s="8" t="s">
        <v>92</v>
      </c>
      <c r="C7" s="8">
        <f>($C$3*$C$4*$C$5)+C6</f>
        <v>0</v>
      </c>
      <c r="D7" s="8">
        <f>($D$3*$D$4*$D$5)+D6</f>
        <v>0</v>
      </c>
      <c r="E7" s="8">
        <f>($E$3*$E$4*$E$5)+E6</f>
        <v>0</v>
      </c>
      <c r="F7" s="8">
        <f>($F$3*$F$4*$F$5)+F6</f>
        <v>0</v>
      </c>
      <c r="G7" s="8">
        <f>($G$3*$G$4*$G$5)+G6</f>
        <v>0</v>
      </c>
      <c r="H7" s="8">
        <f>($H$3*$H$4*$H$5)+H6</f>
        <v>0</v>
      </c>
      <c r="I7" s="8">
        <f>($I$3*$I$4*$I$5)+I6</f>
        <v>0</v>
      </c>
      <c r="J7" s="8">
        <f>($J$3*$J$4*$J$5)+J6</f>
        <v>0</v>
      </c>
      <c r="K7" s="8">
        <f>($K$3*$K$4*$K$5)+K6</f>
        <v>0</v>
      </c>
      <c r="L7" s="8">
        <f>($L$3*$L$4*$L$5)+L6</f>
        <v>0</v>
      </c>
      <c r="M7" s="8">
        <f>($M$3*$M$4*$M$5)+M6</f>
        <v>0</v>
      </c>
      <c r="N7" s="8">
        <f>($N$3*$N$4*$N$5)+N6</f>
        <v>0</v>
      </c>
      <c r="O7" s="8">
        <f t="shared" ref="O7:O30" si="1">SUM(C7:N7)</f>
        <v>0</v>
      </c>
      <c r="P7" s="37">
        <f t="shared" ref="P7:P30" si="2">O7*365</f>
        <v>0</v>
      </c>
    </row>
    <row r="8" spans="1:16" x14ac:dyDescent="0.25">
      <c r="A8" s="8">
        <f t="shared" ref="A8:A30" si="3">+A7+1</f>
        <v>2022</v>
      </c>
      <c r="B8" s="123" t="s">
        <v>19</v>
      </c>
      <c r="C8" s="7">
        <f>($C$3*$C$4*$C$5)+C7</f>
        <v>0</v>
      </c>
      <c r="D8" s="7">
        <f t="shared" ref="D8:D30" si="4">($D$3*$D$4*$D$5)+D7</f>
        <v>0</v>
      </c>
      <c r="E8" s="7">
        <f t="shared" ref="E8:E30" si="5">($E$3*$E$4*$E$5)+E7</f>
        <v>0</v>
      </c>
      <c r="F8" s="7">
        <f t="shared" ref="F8:F30" si="6">($F$3*$F$4*$F$5)+F7</f>
        <v>0</v>
      </c>
      <c r="G8" s="7">
        <f t="shared" ref="G8:G30" si="7">($G$3*$G$4*$G$5)+G7</f>
        <v>0</v>
      </c>
      <c r="H8" s="7">
        <f t="shared" ref="H8:H30" si="8">($H$3*$H$4*$H$5)+H7</f>
        <v>0</v>
      </c>
      <c r="I8" s="7">
        <f t="shared" ref="I8:I30" si="9">($I$3*$I$4*$I$5)+I7</f>
        <v>0</v>
      </c>
      <c r="J8" s="7">
        <f t="shared" ref="J8:J30" si="10">($J$3*$J$4*$J$5)+J7</f>
        <v>0</v>
      </c>
      <c r="K8" s="7">
        <f t="shared" ref="K8:K30" si="11">($K$3*$K$4*$K$5)+K7</f>
        <v>0</v>
      </c>
      <c r="L8" s="7">
        <f t="shared" ref="L8:L30" si="12">($L$3*$L$4*$L$5)+L7</f>
        <v>0</v>
      </c>
      <c r="M8" s="7">
        <f t="shared" ref="M8:M30" si="13">($M$3*$M$4*$M$5)+M7</f>
        <v>0</v>
      </c>
      <c r="N8" s="7">
        <f t="shared" ref="N8:N30" si="14">($N$3*$N$4*$N$5)+N7</f>
        <v>0</v>
      </c>
      <c r="O8" s="8">
        <f t="shared" si="1"/>
        <v>0</v>
      </c>
      <c r="P8" s="37">
        <f t="shared" si="2"/>
        <v>0</v>
      </c>
    </row>
    <row r="9" spans="1:16" x14ac:dyDescent="0.25">
      <c r="A9" s="8">
        <f t="shared" si="3"/>
        <v>2023</v>
      </c>
      <c r="B9" s="124"/>
      <c r="C9" s="7">
        <f>($C$3*$C$4*$C$5)+C8</f>
        <v>0</v>
      </c>
      <c r="D9" s="7">
        <f t="shared" si="4"/>
        <v>0</v>
      </c>
      <c r="E9" s="7">
        <f t="shared" si="5"/>
        <v>0</v>
      </c>
      <c r="F9" s="7">
        <f t="shared" si="6"/>
        <v>0</v>
      </c>
      <c r="G9" s="7">
        <f t="shared" si="7"/>
        <v>0</v>
      </c>
      <c r="H9" s="7">
        <f t="shared" si="8"/>
        <v>0</v>
      </c>
      <c r="I9" s="7">
        <f t="shared" si="9"/>
        <v>0</v>
      </c>
      <c r="J9" s="7">
        <f t="shared" si="10"/>
        <v>0</v>
      </c>
      <c r="K9" s="7">
        <f t="shared" si="11"/>
        <v>0</v>
      </c>
      <c r="L9" s="7">
        <f t="shared" si="12"/>
        <v>0</v>
      </c>
      <c r="M9" s="7">
        <f t="shared" si="13"/>
        <v>0</v>
      </c>
      <c r="N9" s="7">
        <f t="shared" si="14"/>
        <v>0</v>
      </c>
      <c r="O9" s="8">
        <f t="shared" si="1"/>
        <v>0</v>
      </c>
      <c r="P9" s="37">
        <f t="shared" si="2"/>
        <v>0</v>
      </c>
    </row>
    <row r="10" spans="1:16" x14ac:dyDescent="0.25">
      <c r="A10" s="8">
        <f t="shared" si="3"/>
        <v>2024</v>
      </c>
      <c r="B10" s="125"/>
      <c r="C10" s="7">
        <f t="shared" ref="C10:C30" si="15">($C$3*$C$4*$C$5)+C9</f>
        <v>0</v>
      </c>
      <c r="D10" s="7">
        <f t="shared" si="4"/>
        <v>0</v>
      </c>
      <c r="E10" s="7">
        <f t="shared" si="5"/>
        <v>0</v>
      </c>
      <c r="F10" s="7">
        <f t="shared" si="6"/>
        <v>0</v>
      </c>
      <c r="G10" s="7">
        <f t="shared" si="7"/>
        <v>0</v>
      </c>
      <c r="H10" s="7">
        <f t="shared" si="8"/>
        <v>0</v>
      </c>
      <c r="I10" s="7">
        <f t="shared" si="9"/>
        <v>0</v>
      </c>
      <c r="J10" s="7">
        <f t="shared" si="10"/>
        <v>0</v>
      </c>
      <c r="K10" s="7">
        <f t="shared" si="11"/>
        <v>0</v>
      </c>
      <c r="L10" s="7">
        <f t="shared" si="12"/>
        <v>0</v>
      </c>
      <c r="M10" s="7">
        <f t="shared" si="13"/>
        <v>0</v>
      </c>
      <c r="N10" s="7">
        <f t="shared" si="14"/>
        <v>0</v>
      </c>
      <c r="O10" s="8">
        <f t="shared" si="1"/>
        <v>0</v>
      </c>
      <c r="P10" s="37">
        <f t="shared" si="2"/>
        <v>0</v>
      </c>
    </row>
    <row r="11" spans="1:16" x14ac:dyDescent="0.25">
      <c r="A11" s="8">
        <f t="shared" si="3"/>
        <v>2025</v>
      </c>
      <c r="B11" s="113" t="s">
        <v>20</v>
      </c>
      <c r="C11" s="7">
        <f t="shared" si="15"/>
        <v>0</v>
      </c>
      <c r="D11" s="7">
        <f t="shared" si="4"/>
        <v>0</v>
      </c>
      <c r="E11" s="7">
        <f t="shared" si="5"/>
        <v>0</v>
      </c>
      <c r="F11" s="7">
        <f t="shared" si="6"/>
        <v>0</v>
      </c>
      <c r="G11" s="7">
        <f t="shared" si="7"/>
        <v>0</v>
      </c>
      <c r="H11" s="7">
        <f t="shared" si="8"/>
        <v>0</v>
      </c>
      <c r="I11" s="7">
        <f t="shared" si="9"/>
        <v>0</v>
      </c>
      <c r="J11" s="7">
        <f t="shared" si="10"/>
        <v>0</v>
      </c>
      <c r="K11" s="7">
        <f t="shared" si="11"/>
        <v>0</v>
      </c>
      <c r="L11" s="7">
        <f t="shared" si="12"/>
        <v>0</v>
      </c>
      <c r="M11" s="7">
        <f t="shared" si="13"/>
        <v>0</v>
      </c>
      <c r="N11" s="7">
        <f t="shared" si="14"/>
        <v>0</v>
      </c>
      <c r="O11" s="8">
        <f t="shared" si="1"/>
        <v>0</v>
      </c>
      <c r="P11" s="37">
        <f t="shared" si="2"/>
        <v>0</v>
      </c>
    </row>
    <row r="12" spans="1:16" x14ac:dyDescent="0.25">
      <c r="A12" s="8">
        <f t="shared" si="3"/>
        <v>2026</v>
      </c>
      <c r="B12" s="114"/>
      <c r="C12" s="7">
        <f t="shared" si="15"/>
        <v>0</v>
      </c>
      <c r="D12" s="7">
        <f t="shared" si="4"/>
        <v>0</v>
      </c>
      <c r="E12" s="7">
        <f t="shared" si="5"/>
        <v>0</v>
      </c>
      <c r="F12" s="7">
        <f t="shared" si="6"/>
        <v>0</v>
      </c>
      <c r="G12" s="7">
        <f t="shared" si="7"/>
        <v>0</v>
      </c>
      <c r="H12" s="7">
        <f t="shared" si="8"/>
        <v>0</v>
      </c>
      <c r="I12" s="7">
        <f t="shared" si="9"/>
        <v>0</v>
      </c>
      <c r="J12" s="7">
        <f t="shared" si="10"/>
        <v>0</v>
      </c>
      <c r="K12" s="7">
        <f t="shared" si="11"/>
        <v>0</v>
      </c>
      <c r="L12" s="7">
        <f t="shared" si="12"/>
        <v>0</v>
      </c>
      <c r="M12" s="7">
        <f t="shared" si="13"/>
        <v>0</v>
      </c>
      <c r="N12" s="7">
        <f t="shared" si="14"/>
        <v>0</v>
      </c>
      <c r="O12" s="8">
        <f t="shared" si="1"/>
        <v>0</v>
      </c>
      <c r="P12" s="37">
        <f t="shared" si="2"/>
        <v>0</v>
      </c>
    </row>
    <row r="13" spans="1:16" x14ac:dyDescent="0.25">
      <c r="A13" s="8">
        <f t="shared" si="3"/>
        <v>2027</v>
      </c>
      <c r="B13" s="114"/>
      <c r="C13" s="7">
        <f t="shared" si="15"/>
        <v>0</v>
      </c>
      <c r="D13" s="7">
        <f t="shared" si="4"/>
        <v>0</v>
      </c>
      <c r="E13" s="7">
        <f t="shared" si="5"/>
        <v>0</v>
      </c>
      <c r="F13" s="7">
        <f t="shared" si="6"/>
        <v>0</v>
      </c>
      <c r="G13" s="7">
        <f t="shared" si="7"/>
        <v>0</v>
      </c>
      <c r="H13" s="7">
        <f t="shared" si="8"/>
        <v>0</v>
      </c>
      <c r="I13" s="7">
        <f t="shared" si="9"/>
        <v>0</v>
      </c>
      <c r="J13" s="7">
        <f t="shared" si="10"/>
        <v>0</v>
      </c>
      <c r="K13" s="7">
        <f t="shared" si="11"/>
        <v>0</v>
      </c>
      <c r="L13" s="7">
        <f t="shared" si="12"/>
        <v>0</v>
      </c>
      <c r="M13" s="7">
        <f t="shared" si="13"/>
        <v>0</v>
      </c>
      <c r="N13" s="7">
        <f t="shared" si="14"/>
        <v>0</v>
      </c>
      <c r="O13" s="8">
        <f t="shared" si="1"/>
        <v>0</v>
      </c>
      <c r="P13" s="37">
        <f t="shared" si="2"/>
        <v>0</v>
      </c>
    </row>
    <row r="14" spans="1:16" x14ac:dyDescent="0.25">
      <c r="A14" s="8">
        <f t="shared" si="3"/>
        <v>2028</v>
      </c>
      <c r="B14" s="114"/>
      <c r="C14" s="7">
        <f t="shared" si="15"/>
        <v>0</v>
      </c>
      <c r="D14" s="7">
        <f t="shared" si="4"/>
        <v>0</v>
      </c>
      <c r="E14" s="7">
        <f t="shared" si="5"/>
        <v>0</v>
      </c>
      <c r="F14" s="7">
        <f t="shared" si="6"/>
        <v>0</v>
      </c>
      <c r="G14" s="7">
        <f t="shared" si="7"/>
        <v>0</v>
      </c>
      <c r="H14" s="7">
        <f t="shared" si="8"/>
        <v>0</v>
      </c>
      <c r="I14" s="7">
        <f t="shared" si="9"/>
        <v>0</v>
      </c>
      <c r="J14" s="7">
        <f t="shared" si="10"/>
        <v>0</v>
      </c>
      <c r="K14" s="7">
        <f t="shared" si="11"/>
        <v>0</v>
      </c>
      <c r="L14" s="7">
        <f t="shared" si="12"/>
        <v>0</v>
      </c>
      <c r="M14" s="7">
        <f t="shared" si="13"/>
        <v>0</v>
      </c>
      <c r="N14" s="7">
        <f t="shared" si="14"/>
        <v>0</v>
      </c>
      <c r="O14" s="8">
        <f t="shared" si="1"/>
        <v>0</v>
      </c>
      <c r="P14" s="37">
        <f t="shared" si="2"/>
        <v>0</v>
      </c>
    </row>
    <row r="15" spans="1:16" x14ac:dyDescent="0.25">
      <c r="A15" s="8">
        <f t="shared" si="3"/>
        <v>2029</v>
      </c>
      <c r="B15" s="114"/>
      <c r="C15" s="7">
        <f t="shared" si="15"/>
        <v>0</v>
      </c>
      <c r="D15" s="7">
        <f t="shared" si="4"/>
        <v>0</v>
      </c>
      <c r="E15" s="7">
        <f t="shared" si="5"/>
        <v>0</v>
      </c>
      <c r="F15" s="7">
        <f t="shared" si="6"/>
        <v>0</v>
      </c>
      <c r="G15" s="7">
        <f t="shared" si="7"/>
        <v>0</v>
      </c>
      <c r="H15" s="7">
        <f t="shared" si="8"/>
        <v>0</v>
      </c>
      <c r="I15" s="7">
        <f t="shared" si="9"/>
        <v>0</v>
      </c>
      <c r="J15" s="7">
        <f t="shared" si="10"/>
        <v>0</v>
      </c>
      <c r="K15" s="7">
        <f t="shared" si="11"/>
        <v>0</v>
      </c>
      <c r="L15" s="7">
        <f t="shared" si="12"/>
        <v>0</v>
      </c>
      <c r="M15" s="7">
        <f t="shared" si="13"/>
        <v>0</v>
      </c>
      <c r="N15" s="7">
        <f t="shared" si="14"/>
        <v>0</v>
      </c>
      <c r="O15" s="8">
        <f t="shared" si="1"/>
        <v>0</v>
      </c>
      <c r="P15" s="37">
        <f t="shared" si="2"/>
        <v>0</v>
      </c>
    </row>
    <row r="16" spans="1:16" x14ac:dyDescent="0.25">
      <c r="A16" s="8">
        <f t="shared" si="3"/>
        <v>2030</v>
      </c>
      <c r="B16" s="114"/>
      <c r="C16" s="7">
        <f t="shared" si="15"/>
        <v>0</v>
      </c>
      <c r="D16" s="7">
        <f t="shared" si="4"/>
        <v>0</v>
      </c>
      <c r="E16" s="7">
        <f t="shared" si="5"/>
        <v>0</v>
      </c>
      <c r="F16" s="7">
        <f t="shared" si="6"/>
        <v>0</v>
      </c>
      <c r="G16" s="7">
        <f t="shared" si="7"/>
        <v>0</v>
      </c>
      <c r="H16" s="7">
        <f t="shared" si="8"/>
        <v>0</v>
      </c>
      <c r="I16" s="7">
        <f t="shared" si="9"/>
        <v>0</v>
      </c>
      <c r="J16" s="7">
        <f t="shared" si="10"/>
        <v>0</v>
      </c>
      <c r="K16" s="7">
        <f t="shared" si="11"/>
        <v>0</v>
      </c>
      <c r="L16" s="7">
        <f t="shared" si="12"/>
        <v>0</v>
      </c>
      <c r="M16" s="7">
        <f t="shared" si="13"/>
        <v>0</v>
      </c>
      <c r="N16" s="7">
        <f t="shared" si="14"/>
        <v>0</v>
      </c>
      <c r="O16" s="8">
        <f t="shared" si="1"/>
        <v>0</v>
      </c>
      <c r="P16" s="37">
        <f t="shared" si="2"/>
        <v>0</v>
      </c>
    </row>
    <row r="17" spans="1:16" x14ac:dyDescent="0.25">
      <c r="A17" s="8">
        <f t="shared" si="3"/>
        <v>2031</v>
      </c>
      <c r="B17" s="114"/>
      <c r="C17" s="7">
        <f t="shared" si="15"/>
        <v>0</v>
      </c>
      <c r="D17" s="7">
        <f t="shared" si="4"/>
        <v>0</v>
      </c>
      <c r="E17" s="7">
        <f t="shared" si="5"/>
        <v>0</v>
      </c>
      <c r="F17" s="7">
        <f t="shared" si="6"/>
        <v>0</v>
      </c>
      <c r="G17" s="7">
        <f t="shared" si="7"/>
        <v>0</v>
      </c>
      <c r="H17" s="7">
        <f t="shared" si="8"/>
        <v>0</v>
      </c>
      <c r="I17" s="7">
        <f t="shared" si="9"/>
        <v>0</v>
      </c>
      <c r="J17" s="7">
        <f t="shared" si="10"/>
        <v>0</v>
      </c>
      <c r="K17" s="7">
        <f t="shared" si="11"/>
        <v>0</v>
      </c>
      <c r="L17" s="7">
        <f t="shared" si="12"/>
        <v>0</v>
      </c>
      <c r="M17" s="7">
        <f t="shared" si="13"/>
        <v>0</v>
      </c>
      <c r="N17" s="7">
        <f t="shared" si="14"/>
        <v>0</v>
      </c>
      <c r="O17" s="8">
        <f t="shared" si="1"/>
        <v>0</v>
      </c>
      <c r="P17" s="37">
        <f t="shared" si="2"/>
        <v>0</v>
      </c>
    </row>
    <row r="18" spans="1:16" x14ac:dyDescent="0.25">
      <c r="A18" s="8">
        <f t="shared" si="3"/>
        <v>2032</v>
      </c>
      <c r="B18" s="114"/>
      <c r="C18" s="7">
        <f t="shared" si="15"/>
        <v>0</v>
      </c>
      <c r="D18" s="7">
        <f t="shared" si="4"/>
        <v>0</v>
      </c>
      <c r="E18" s="7">
        <f t="shared" si="5"/>
        <v>0</v>
      </c>
      <c r="F18" s="7">
        <f t="shared" si="6"/>
        <v>0</v>
      </c>
      <c r="G18" s="7">
        <f t="shared" si="7"/>
        <v>0</v>
      </c>
      <c r="H18" s="7">
        <f t="shared" si="8"/>
        <v>0</v>
      </c>
      <c r="I18" s="7">
        <f t="shared" si="9"/>
        <v>0</v>
      </c>
      <c r="J18" s="7">
        <f t="shared" si="10"/>
        <v>0</v>
      </c>
      <c r="K18" s="7">
        <f t="shared" si="11"/>
        <v>0</v>
      </c>
      <c r="L18" s="7">
        <f t="shared" si="12"/>
        <v>0</v>
      </c>
      <c r="M18" s="7">
        <f t="shared" si="13"/>
        <v>0</v>
      </c>
      <c r="N18" s="7">
        <f t="shared" si="14"/>
        <v>0</v>
      </c>
      <c r="O18" s="8">
        <f t="shared" si="1"/>
        <v>0</v>
      </c>
      <c r="P18" s="37">
        <f t="shared" si="2"/>
        <v>0</v>
      </c>
    </row>
    <row r="19" spans="1:16" x14ac:dyDescent="0.25">
      <c r="A19" s="8">
        <f t="shared" si="3"/>
        <v>2033</v>
      </c>
      <c r="B19" s="114"/>
      <c r="C19" s="7">
        <f t="shared" si="15"/>
        <v>0</v>
      </c>
      <c r="D19" s="7">
        <f t="shared" si="4"/>
        <v>0</v>
      </c>
      <c r="E19" s="7">
        <f t="shared" si="5"/>
        <v>0</v>
      </c>
      <c r="F19" s="7">
        <f t="shared" si="6"/>
        <v>0</v>
      </c>
      <c r="G19" s="7">
        <f t="shared" si="7"/>
        <v>0</v>
      </c>
      <c r="H19" s="7">
        <f t="shared" si="8"/>
        <v>0</v>
      </c>
      <c r="I19" s="7">
        <f t="shared" si="9"/>
        <v>0</v>
      </c>
      <c r="J19" s="7">
        <f t="shared" si="10"/>
        <v>0</v>
      </c>
      <c r="K19" s="7">
        <f t="shared" si="11"/>
        <v>0</v>
      </c>
      <c r="L19" s="7">
        <f t="shared" si="12"/>
        <v>0</v>
      </c>
      <c r="M19" s="7">
        <f t="shared" si="13"/>
        <v>0</v>
      </c>
      <c r="N19" s="7">
        <f t="shared" si="14"/>
        <v>0</v>
      </c>
      <c r="O19" s="8">
        <f t="shared" si="1"/>
        <v>0</v>
      </c>
      <c r="P19" s="37">
        <f t="shared" si="2"/>
        <v>0</v>
      </c>
    </row>
    <row r="20" spans="1:16" x14ac:dyDescent="0.25">
      <c r="A20" s="8">
        <f t="shared" si="3"/>
        <v>2034</v>
      </c>
      <c r="B20" s="114"/>
      <c r="C20" s="7">
        <f t="shared" si="15"/>
        <v>0</v>
      </c>
      <c r="D20" s="7">
        <f t="shared" si="4"/>
        <v>0</v>
      </c>
      <c r="E20" s="7">
        <f t="shared" si="5"/>
        <v>0</v>
      </c>
      <c r="F20" s="7">
        <f t="shared" si="6"/>
        <v>0</v>
      </c>
      <c r="G20" s="7">
        <f t="shared" si="7"/>
        <v>0</v>
      </c>
      <c r="H20" s="7">
        <f t="shared" si="8"/>
        <v>0</v>
      </c>
      <c r="I20" s="7">
        <f t="shared" si="9"/>
        <v>0</v>
      </c>
      <c r="J20" s="7">
        <f t="shared" si="10"/>
        <v>0</v>
      </c>
      <c r="K20" s="7">
        <f t="shared" si="11"/>
        <v>0</v>
      </c>
      <c r="L20" s="7">
        <f t="shared" si="12"/>
        <v>0</v>
      </c>
      <c r="M20" s="7">
        <f t="shared" si="13"/>
        <v>0</v>
      </c>
      <c r="N20" s="7">
        <f t="shared" si="14"/>
        <v>0</v>
      </c>
      <c r="O20" s="8">
        <f t="shared" si="1"/>
        <v>0</v>
      </c>
      <c r="P20" s="37">
        <f t="shared" si="2"/>
        <v>0</v>
      </c>
    </row>
    <row r="21" spans="1:16" x14ac:dyDescent="0.25">
      <c r="A21" s="8">
        <f t="shared" si="3"/>
        <v>2035</v>
      </c>
      <c r="B21" s="114"/>
      <c r="C21" s="7">
        <f t="shared" si="15"/>
        <v>0</v>
      </c>
      <c r="D21" s="7">
        <f t="shared" si="4"/>
        <v>0</v>
      </c>
      <c r="E21" s="7">
        <f t="shared" si="5"/>
        <v>0</v>
      </c>
      <c r="F21" s="7">
        <f t="shared" si="6"/>
        <v>0</v>
      </c>
      <c r="G21" s="7">
        <f t="shared" si="7"/>
        <v>0</v>
      </c>
      <c r="H21" s="7">
        <f t="shared" si="8"/>
        <v>0</v>
      </c>
      <c r="I21" s="7">
        <f t="shared" si="9"/>
        <v>0</v>
      </c>
      <c r="J21" s="7">
        <f t="shared" si="10"/>
        <v>0</v>
      </c>
      <c r="K21" s="7">
        <f t="shared" si="11"/>
        <v>0</v>
      </c>
      <c r="L21" s="7">
        <f t="shared" si="12"/>
        <v>0</v>
      </c>
      <c r="M21" s="7">
        <f t="shared" si="13"/>
        <v>0</v>
      </c>
      <c r="N21" s="7">
        <f t="shared" si="14"/>
        <v>0</v>
      </c>
      <c r="O21" s="8">
        <f t="shared" si="1"/>
        <v>0</v>
      </c>
      <c r="P21" s="37">
        <f t="shared" si="2"/>
        <v>0</v>
      </c>
    </row>
    <row r="22" spans="1:16" x14ac:dyDescent="0.25">
      <c r="A22" s="8">
        <f t="shared" si="3"/>
        <v>2036</v>
      </c>
      <c r="B22" s="114"/>
      <c r="C22" s="7">
        <f t="shared" si="15"/>
        <v>0</v>
      </c>
      <c r="D22" s="7">
        <f t="shared" si="4"/>
        <v>0</v>
      </c>
      <c r="E22" s="7">
        <f t="shared" si="5"/>
        <v>0</v>
      </c>
      <c r="F22" s="7">
        <f t="shared" si="6"/>
        <v>0</v>
      </c>
      <c r="G22" s="7">
        <f t="shared" si="7"/>
        <v>0</v>
      </c>
      <c r="H22" s="7">
        <f t="shared" si="8"/>
        <v>0</v>
      </c>
      <c r="I22" s="7">
        <f t="shared" si="9"/>
        <v>0</v>
      </c>
      <c r="J22" s="7">
        <f t="shared" si="10"/>
        <v>0</v>
      </c>
      <c r="K22" s="7">
        <f t="shared" si="11"/>
        <v>0</v>
      </c>
      <c r="L22" s="7">
        <f t="shared" si="12"/>
        <v>0</v>
      </c>
      <c r="M22" s="7">
        <f t="shared" si="13"/>
        <v>0</v>
      </c>
      <c r="N22" s="7">
        <f t="shared" si="14"/>
        <v>0</v>
      </c>
      <c r="O22" s="8">
        <f t="shared" si="1"/>
        <v>0</v>
      </c>
      <c r="P22" s="37">
        <f t="shared" si="2"/>
        <v>0</v>
      </c>
    </row>
    <row r="23" spans="1:16" x14ac:dyDescent="0.25">
      <c r="A23" s="8">
        <f t="shared" si="3"/>
        <v>2037</v>
      </c>
      <c r="B23" s="114"/>
      <c r="C23" s="7">
        <f t="shared" si="15"/>
        <v>0</v>
      </c>
      <c r="D23" s="7">
        <f t="shared" si="4"/>
        <v>0</v>
      </c>
      <c r="E23" s="7">
        <f t="shared" si="5"/>
        <v>0</v>
      </c>
      <c r="F23" s="7">
        <f t="shared" si="6"/>
        <v>0</v>
      </c>
      <c r="G23" s="7">
        <f t="shared" si="7"/>
        <v>0</v>
      </c>
      <c r="H23" s="7">
        <f t="shared" si="8"/>
        <v>0</v>
      </c>
      <c r="I23" s="7">
        <f t="shared" si="9"/>
        <v>0</v>
      </c>
      <c r="J23" s="7">
        <f t="shared" si="10"/>
        <v>0</v>
      </c>
      <c r="K23" s="7">
        <f t="shared" si="11"/>
        <v>0</v>
      </c>
      <c r="L23" s="7">
        <f t="shared" si="12"/>
        <v>0</v>
      </c>
      <c r="M23" s="7">
        <f t="shared" si="13"/>
        <v>0</v>
      </c>
      <c r="N23" s="7">
        <f t="shared" si="14"/>
        <v>0</v>
      </c>
      <c r="O23" s="8">
        <f t="shared" si="1"/>
        <v>0</v>
      </c>
      <c r="P23" s="37">
        <f t="shared" si="2"/>
        <v>0</v>
      </c>
    </row>
    <row r="24" spans="1:16" x14ac:dyDescent="0.25">
      <c r="A24" s="8">
        <f t="shared" si="3"/>
        <v>2038</v>
      </c>
      <c r="B24" s="114"/>
      <c r="C24" s="7">
        <f t="shared" si="15"/>
        <v>0</v>
      </c>
      <c r="D24" s="7">
        <f t="shared" si="4"/>
        <v>0</v>
      </c>
      <c r="E24" s="7">
        <f t="shared" si="5"/>
        <v>0</v>
      </c>
      <c r="F24" s="7">
        <f t="shared" si="6"/>
        <v>0</v>
      </c>
      <c r="G24" s="7">
        <f t="shared" si="7"/>
        <v>0</v>
      </c>
      <c r="H24" s="7">
        <f t="shared" si="8"/>
        <v>0</v>
      </c>
      <c r="I24" s="7">
        <f t="shared" si="9"/>
        <v>0</v>
      </c>
      <c r="J24" s="7">
        <f t="shared" si="10"/>
        <v>0</v>
      </c>
      <c r="K24" s="7">
        <f t="shared" si="11"/>
        <v>0</v>
      </c>
      <c r="L24" s="7">
        <f t="shared" si="12"/>
        <v>0</v>
      </c>
      <c r="M24" s="7">
        <f t="shared" si="13"/>
        <v>0</v>
      </c>
      <c r="N24" s="7">
        <f t="shared" si="14"/>
        <v>0</v>
      </c>
      <c r="O24" s="8">
        <f t="shared" si="1"/>
        <v>0</v>
      </c>
      <c r="P24" s="37">
        <f t="shared" si="2"/>
        <v>0</v>
      </c>
    </row>
    <row r="25" spans="1:16" x14ac:dyDescent="0.25">
      <c r="A25" s="8">
        <f t="shared" si="3"/>
        <v>2039</v>
      </c>
      <c r="B25" s="114"/>
      <c r="C25" s="7">
        <f t="shared" si="15"/>
        <v>0</v>
      </c>
      <c r="D25" s="7">
        <f t="shared" si="4"/>
        <v>0</v>
      </c>
      <c r="E25" s="7">
        <f t="shared" si="5"/>
        <v>0</v>
      </c>
      <c r="F25" s="7">
        <f t="shared" si="6"/>
        <v>0</v>
      </c>
      <c r="G25" s="7">
        <f t="shared" si="7"/>
        <v>0</v>
      </c>
      <c r="H25" s="7">
        <f t="shared" si="8"/>
        <v>0</v>
      </c>
      <c r="I25" s="7">
        <f t="shared" si="9"/>
        <v>0</v>
      </c>
      <c r="J25" s="7">
        <f t="shared" si="10"/>
        <v>0</v>
      </c>
      <c r="K25" s="7">
        <f t="shared" si="11"/>
        <v>0</v>
      </c>
      <c r="L25" s="7">
        <f t="shared" si="12"/>
        <v>0</v>
      </c>
      <c r="M25" s="7">
        <f t="shared" si="13"/>
        <v>0</v>
      </c>
      <c r="N25" s="7">
        <f t="shared" si="14"/>
        <v>0</v>
      </c>
      <c r="O25" s="8">
        <f t="shared" si="1"/>
        <v>0</v>
      </c>
      <c r="P25" s="37">
        <f t="shared" si="2"/>
        <v>0</v>
      </c>
    </row>
    <row r="26" spans="1:16" x14ac:dyDescent="0.25">
      <c r="A26" s="8">
        <f t="shared" si="3"/>
        <v>2040</v>
      </c>
      <c r="B26" s="114"/>
      <c r="C26" s="7">
        <f t="shared" si="15"/>
        <v>0</v>
      </c>
      <c r="D26" s="7">
        <f t="shared" si="4"/>
        <v>0</v>
      </c>
      <c r="E26" s="7">
        <f t="shared" si="5"/>
        <v>0</v>
      </c>
      <c r="F26" s="7">
        <f t="shared" si="6"/>
        <v>0</v>
      </c>
      <c r="G26" s="7">
        <f t="shared" si="7"/>
        <v>0</v>
      </c>
      <c r="H26" s="7">
        <f t="shared" si="8"/>
        <v>0</v>
      </c>
      <c r="I26" s="7">
        <f t="shared" si="9"/>
        <v>0</v>
      </c>
      <c r="J26" s="7">
        <f t="shared" si="10"/>
        <v>0</v>
      </c>
      <c r="K26" s="7">
        <f t="shared" si="11"/>
        <v>0</v>
      </c>
      <c r="L26" s="7">
        <f t="shared" si="12"/>
        <v>0</v>
      </c>
      <c r="M26" s="7">
        <f t="shared" si="13"/>
        <v>0</v>
      </c>
      <c r="N26" s="7">
        <f t="shared" si="14"/>
        <v>0</v>
      </c>
      <c r="O26" s="8">
        <f t="shared" si="1"/>
        <v>0</v>
      </c>
      <c r="P26" s="37">
        <f t="shared" si="2"/>
        <v>0</v>
      </c>
    </row>
    <row r="27" spans="1:16" x14ac:dyDescent="0.25">
      <c r="A27" s="8">
        <f t="shared" si="3"/>
        <v>2041</v>
      </c>
      <c r="B27" s="114"/>
      <c r="C27" s="7">
        <f t="shared" si="15"/>
        <v>0</v>
      </c>
      <c r="D27" s="7">
        <f t="shared" si="4"/>
        <v>0</v>
      </c>
      <c r="E27" s="7">
        <f t="shared" si="5"/>
        <v>0</v>
      </c>
      <c r="F27" s="7">
        <f t="shared" si="6"/>
        <v>0</v>
      </c>
      <c r="G27" s="7">
        <f t="shared" si="7"/>
        <v>0</v>
      </c>
      <c r="H27" s="7">
        <f t="shared" si="8"/>
        <v>0</v>
      </c>
      <c r="I27" s="7">
        <f t="shared" si="9"/>
        <v>0</v>
      </c>
      <c r="J27" s="7">
        <f t="shared" si="10"/>
        <v>0</v>
      </c>
      <c r="K27" s="7">
        <f t="shared" si="11"/>
        <v>0</v>
      </c>
      <c r="L27" s="7">
        <f t="shared" si="12"/>
        <v>0</v>
      </c>
      <c r="M27" s="7">
        <f t="shared" si="13"/>
        <v>0</v>
      </c>
      <c r="N27" s="7">
        <f t="shared" si="14"/>
        <v>0</v>
      </c>
      <c r="O27" s="8">
        <f t="shared" si="1"/>
        <v>0</v>
      </c>
      <c r="P27" s="37">
        <f t="shared" si="2"/>
        <v>0</v>
      </c>
    </row>
    <row r="28" spans="1:16" x14ac:dyDescent="0.25">
      <c r="A28" s="8">
        <f t="shared" si="3"/>
        <v>2042</v>
      </c>
      <c r="B28" s="114"/>
      <c r="C28" s="7">
        <f t="shared" si="15"/>
        <v>0</v>
      </c>
      <c r="D28" s="7">
        <f t="shared" si="4"/>
        <v>0</v>
      </c>
      <c r="E28" s="7">
        <f t="shared" si="5"/>
        <v>0</v>
      </c>
      <c r="F28" s="7">
        <f t="shared" si="6"/>
        <v>0</v>
      </c>
      <c r="G28" s="7">
        <f t="shared" si="7"/>
        <v>0</v>
      </c>
      <c r="H28" s="7">
        <f t="shared" si="8"/>
        <v>0</v>
      </c>
      <c r="I28" s="7">
        <f t="shared" si="9"/>
        <v>0</v>
      </c>
      <c r="J28" s="7">
        <f t="shared" si="10"/>
        <v>0</v>
      </c>
      <c r="K28" s="7">
        <f t="shared" si="11"/>
        <v>0</v>
      </c>
      <c r="L28" s="7">
        <f t="shared" si="12"/>
        <v>0</v>
      </c>
      <c r="M28" s="7">
        <f t="shared" si="13"/>
        <v>0</v>
      </c>
      <c r="N28" s="7">
        <f t="shared" si="14"/>
        <v>0</v>
      </c>
      <c r="O28" s="8">
        <f t="shared" si="1"/>
        <v>0</v>
      </c>
      <c r="P28" s="37">
        <f t="shared" si="2"/>
        <v>0</v>
      </c>
    </row>
    <row r="29" spans="1:16" x14ac:dyDescent="0.25">
      <c r="A29" s="8">
        <f t="shared" si="3"/>
        <v>2043</v>
      </c>
      <c r="B29" s="114"/>
      <c r="C29" s="7">
        <f t="shared" si="15"/>
        <v>0</v>
      </c>
      <c r="D29" s="7">
        <f t="shared" si="4"/>
        <v>0</v>
      </c>
      <c r="E29" s="7">
        <f t="shared" si="5"/>
        <v>0</v>
      </c>
      <c r="F29" s="7">
        <f t="shared" si="6"/>
        <v>0</v>
      </c>
      <c r="G29" s="7">
        <f t="shared" si="7"/>
        <v>0</v>
      </c>
      <c r="H29" s="7">
        <f t="shared" si="8"/>
        <v>0</v>
      </c>
      <c r="I29" s="7">
        <f t="shared" si="9"/>
        <v>0</v>
      </c>
      <c r="J29" s="7">
        <f t="shared" si="10"/>
        <v>0</v>
      </c>
      <c r="K29" s="7">
        <f t="shared" si="11"/>
        <v>0</v>
      </c>
      <c r="L29" s="7">
        <f t="shared" si="12"/>
        <v>0</v>
      </c>
      <c r="M29" s="7">
        <f t="shared" si="13"/>
        <v>0</v>
      </c>
      <c r="N29" s="7">
        <f t="shared" si="14"/>
        <v>0</v>
      </c>
      <c r="O29" s="8">
        <f t="shared" si="1"/>
        <v>0</v>
      </c>
      <c r="P29" s="37">
        <f t="shared" si="2"/>
        <v>0</v>
      </c>
    </row>
    <row r="30" spans="1:16" x14ac:dyDescent="0.25">
      <c r="A30" s="8">
        <f t="shared" si="3"/>
        <v>2044</v>
      </c>
      <c r="B30" s="115"/>
      <c r="C30" s="7">
        <f t="shared" si="15"/>
        <v>0</v>
      </c>
      <c r="D30" s="7">
        <f t="shared" si="4"/>
        <v>0</v>
      </c>
      <c r="E30" s="7">
        <f t="shared" si="5"/>
        <v>0</v>
      </c>
      <c r="F30" s="7">
        <f t="shared" si="6"/>
        <v>0</v>
      </c>
      <c r="G30" s="7">
        <f t="shared" si="7"/>
        <v>0</v>
      </c>
      <c r="H30" s="7">
        <f t="shared" si="8"/>
        <v>0</v>
      </c>
      <c r="I30" s="7">
        <f t="shared" si="9"/>
        <v>0</v>
      </c>
      <c r="J30" s="7">
        <f t="shared" si="10"/>
        <v>0</v>
      </c>
      <c r="K30" s="7">
        <f t="shared" si="11"/>
        <v>0</v>
      </c>
      <c r="L30" s="7">
        <f t="shared" si="12"/>
        <v>0</v>
      </c>
      <c r="M30" s="7">
        <f t="shared" si="13"/>
        <v>0</v>
      </c>
      <c r="N30" s="7">
        <f t="shared" si="14"/>
        <v>0</v>
      </c>
      <c r="O30" s="8">
        <f t="shared" si="1"/>
        <v>0</v>
      </c>
      <c r="P30" s="37">
        <f t="shared" si="2"/>
        <v>0</v>
      </c>
    </row>
    <row r="31" spans="1:16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</row>
    <row r="32" spans="1:16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</row>
    <row r="33" spans="1:15" x14ac:dyDescent="0.25">
      <c r="A33" s="49" t="s">
        <v>21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</row>
    <row r="34" spans="1:15" x14ac:dyDescent="0.25">
      <c r="A34" s="50" t="s">
        <v>22</v>
      </c>
      <c r="B34" s="51"/>
      <c r="C34" s="51"/>
      <c r="D34" s="51"/>
      <c r="E34" s="50" t="s">
        <v>23</v>
      </c>
      <c r="F34" s="51"/>
      <c r="G34" s="51"/>
      <c r="H34" s="51"/>
      <c r="I34" s="51"/>
      <c r="J34" s="50" t="s">
        <v>24</v>
      </c>
      <c r="K34" s="51"/>
      <c r="L34" s="51"/>
      <c r="M34" s="51"/>
      <c r="N34" s="51"/>
      <c r="O34" s="48"/>
    </row>
    <row r="35" spans="1:15" x14ac:dyDescent="0.25">
      <c r="A35" s="50" t="s">
        <v>25</v>
      </c>
      <c r="B35" s="51"/>
      <c r="C35" s="51"/>
      <c r="D35" s="51"/>
      <c r="E35" s="50" t="s">
        <v>26</v>
      </c>
      <c r="F35" s="51"/>
      <c r="G35" s="51"/>
      <c r="H35" s="51"/>
      <c r="I35" s="51"/>
      <c r="J35" s="50" t="s">
        <v>27</v>
      </c>
      <c r="K35" s="51"/>
      <c r="L35" s="51"/>
      <c r="M35" s="51"/>
      <c r="N35" s="51"/>
      <c r="O35" s="48"/>
    </row>
    <row r="36" spans="1:15" x14ac:dyDescent="0.25">
      <c r="A36" s="50" t="s">
        <v>28</v>
      </c>
      <c r="B36" s="51"/>
      <c r="C36" s="51"/>
      <c r="D36" s="51"/>
      <c r="E36" s="50" t="s">
        <v>29</v>
      </c>
      <c r="F36" s="51"/>
      <c r="G36" s="51"/>
      <c r="H36" s="51"/>
      <c r="I36" s="51"/>
      <c r="J36" s="50" t="s">
        <v>88</v>
      </c>
      <c r="K36" s="51"/>
      <c r="L36" s="51"/>
      <c r="M36" s="51"/>
      <c r="N36" s="51"/>
      <c r="O36" s="48"/>
    </row>
    <row r="37" spans="1:15" x14ac:dyDescent="0.25">
      <c r="A37" s="50" t="s">
        <v>31</v>
      </c>
      <c r="B37" s="51"/>
      <c r="C37" s="51"/>
      <c r="D37" s="51"/>
      <c r="E37" s="50" t="s">
        <v>32</v>
      </c>
      <c r="F37" s="51"/>
      <c r="G37" s="51"/>
      <c r="H37" s="51"/>
      <c r="I37" s="51"/>
      <c r="J37" s="50" t="s">
        <v>33</v>
      </c>
      <c r="K37" s="51"/>
      <c r="L37" s="51"/>
      <c r="M37" s="51"/>
      <c r="N37" s="51"/>
      <c r="O37" s="48"/>
    </row>
  </sheetData>
  <mergeCells count="5">
    <mergeCell ref="B11:B30"/>
    <mergeCell ref="C1:N1"/>
    <mergeCell ref="O1:O5"/>
    <mergeCell ref="A2:A5"/>
    <mergeCell ref="B8:B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8"/>
  <sheetViews>
    <sheetView topLeftCell="Y1" zoomScaleNormal="100" workbookViewId="0">
      <selection activeCell="AL4" sqref="AL4"/>
    </sheetView>
  </sheetViews>
  <sheetFormatPr baseColWidth="10" defaultColWidth="11.42578125" defaultRowHeight="15.75" x14ac:dyDescent="0.25"/>
  <cols>
    <col min="1" max="1" width="8.85546875" style="55" customWidth="1"/>
    <col min="2" max="2" width="11.42578125" style="55"/>
    <col min="3" max="3" width="12.5703125" style="55" bestFit="1" customWidth="1"/>
    <col min="4" max="4" width="12.5703125" style="55" customWidth="1"/>
    <col min="5" max="27" width="11.42578125" style="55"/>
    <col min="28" max="28" width="13.7109375" style="55" bestFit="1" customWidth="1"/>
    <col min="29" max="37" width="11.42578125" style="55"/>
    <col min="38" max="38" width="11.42578125" style="71"/>
    <col min="39" max="16384" width="11.42578125" style="55"/>
  </cols>
  <sheetData>
    <row r="1" spans="1:38" x14ac:dyDescent="0.25">
      <c r="A1" s="53"/>
      <c r="B1" s="53"/>
      <c r="C1" s="130" t="s">
        <v>34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54"/>
      <c r="AA1" s="131" t="s">
        <v>90</v>
      </c>
    </row>
    <row r="2" spans="1:38" x14ac:dyDescent="0.25">
      <c r="A2" s="133" t="s">
        <v>1</v>
      </c>
      <c r="B2" s="56" t="s">
        <v>2</v>
      </c>
      <c r="C2" s="126" t="s">
        <v>3</v>
      </c>
      <c r="D2" s="127"/>
      <c r="E2" s="126" t="s">
        <v>4</v>
      </c>
      <c r="F2" s="127"/>
      <c r="G2" s="126" t="s">
        <v>5</v>
      </c>
      <c r="H2" s="127"/>
      <c r="I2" s="126" t="s">
        <v>6</v>
      </c>
      <c r="J2" s="127"/>
      <c r="K2" s="126" t="s">
        <v>7</v>
      </c>
      <c r="L2" s="127"/>
      <c r="M2" s="126" t="s">
        <v>8</v>
      </c>
      <c r="N2" s="127"/>
      <c r="O2" s="126" t="s">
        <v>9</v>
      </c>
      <c r="P2" s="127"/>
      <c r="Q2" s="126" t="s">
        <v>10</v>
      </c>
      <c r="R2" s="127"/>
      <c r="S2" s="126" t="s">
        <v>11</v>
      </c>
      <c r="T2" s="127"/>
      <c r="U2" s="126" t="s">
        <v>12</v>
      </c>
      <c r="V2" s="127"/>
      <c r="W2" s="126" t="s">
        <v>13</v>
      </c>
      <c r="X2" s="127"/>
      <c r="Y2" s="126" t="s">
        <v>14</v>
      </c>
      <c r="Z2" s="127"/>
      <c r="AA2" s="132"/>
    </row>
    <row r="3" spans="1:38" x14ac:dyDescent="0.25">
      <c r="A3" s="133"/>
      <c r="B3" s="56" t="s">
        <v>15</v>
      </c>
      <c r="C3" s="128"/>
      <c r="D3" s="129"/>
      <c r="E3" s="128"/>
      <c r="F3" s="129"/>
      <c r="G3" s="128"/>
      <c r="H3" s="129"/>
      <c r="I3" s="128"/>
      <c r="J3" s="129"/>
      <c r="K3" s="128"/>
      <c r="L3" s="129"/>
      <c r="M3" s="128"/>
      <c r="N3" s="129"/>
      <c r="O3" s="128"/>
      <c r="P3" s="129"/>
      <c r="Q3" s="128"/>
      <c r="R3" s="129"/>
      <c r="S3" s="128"/>
      <c r="T3" s="129"/>
      <c r="U3" s="128"/>
      <c r="V3" s="129"/>
      <c r="W3" s="128"/>
      <c r="X3" s="129"/>
      <c r="Y3" s="128"/>
      <c r="Z3" s="129"/>
      <c r="AA3" s="132"/>
    </row>
    <row r="4" spans="1:38" x14ac:dyDescent="0.25">
      <c r="A4" s="133"/>
      <c r="B4" s="57" t="s">
        <v>93</v>
      </c>
      <c r="C4" s="126"/>
      <c r="D4" s="127"/>
      <c r="E4" s="126"/>
      <c r="F4" s="127"/>
      <c r="G4" s="126"/>
      <c r="H4" s="127"/>
      <c r="I4" s="126"/>
      <c r="J4" s="127"/>
      <c r="K4" s="126"/>
      <c r="L4" s="127"/>
      <c r="M4" s="126"/>
      <c r="N4" s="127"/>
      <c r="O4" s="126"/>
      <c r="P4" s="127"/>
      <c r="Q4" s="126"/>
      <c r="R4" s="127"/>
      <c r="S4" s="126"/>
      <c r="T4" s="127"/>
      <c r="U4" s="126"/>
      <c r="V4" s="127"/>
      <c r="W4" s="126"/>
      <c r="X4" s="127"/>
      <c r="Y4" s="126"/>
      <c r="Z4" s="127"/>
      <c r="AA4" s="132"/>
      <c r="AL4" s="72">
        <f>(7.7/7.77)^4.32</f>
        <v>0.96165906882030616</v>
      </c>
    </row>
    <row r="5" spans="1:38" x14ac:dyDescent="0.25">
      <c r="A5" s="133"/>
      <c r="B5" s="58" t="s">
        <v>94</v>
      </c>
      <c r="C5" s="126"/>
      <c r="D5" s="127"/>
      <c r="E5" s="126"/>
      <c r="F5" s="127"/>
      <c r="G5" s="126"/>
      <c r="H5" s="127"/>
      <c r="I5" s="126"/>
      <c r="J5" s="127"/>
      <c r="K5" s="126"/>
      <c r="L5" s="127"/>
      <c r="M5" s="126"/>
      <c r="N5" s="127"/>
      <c r="O5" s="126"/>
      <c r="P5" s="127"/>
      <c r="Q5" s="126"/>
      <c r="R5" s="127"/>
      <c r="S5" s="126"/>
      <c r="T5" s="127"/>
      <c r="U5" s="126"/>
      <c r="V5" s="127"/>
      <c r="W5" s="126"/>
      <c r="X5" s="127"/>
      <c r="Y5" s="126"/>
      <c r="Z5" s="127"/>
      <c r="AA5" s="132"/>
    </row>
    <row r="6" spans="1:38" x14ac:dyDescent="0.25">
      <c r="A6" s="56"/>
      <c r="B6" s="58"/>
      <c r="C6" s="76"/>
      <c r="D6" s="77"/>
      <c r="E6" s="76"/>
      <c r="F6" s="77"/>
      <c r="G6" s="76"/>
      <c r="H6" s="77"/>
      <c r="I6" s="76"/>
      <c r="J6" s="77"/>
      <c r="K6" s="76"/>
      <c r="L6" s="77"/>
      <c r="M6" s="76"/>
      <c r="N6" s="77"/>
      <c r="O6" s="76"/>
      <c r="P6" s="77"/>
      <c r="Q6" s="76"/>
      <c r="R6" s="77"/>
      <c r="S6" s="76"/>
      <c r="T6" s="77"/>
      <c r="U6" s="76"/>
      <c r="V6" s="77"/>
      <c r="W6" s="76"/>
      <c r="X6" s="77"/>
      <c r="Y6" s="76"/>
      <c r="Z6" s="77"/>
      <c r="AA6" s="67"/>
    </row>
    <row r="7" spans="1:38" x14ac:dyDescent="0.25">
      <c r="A7" s="66">
        <v>2015</v>
      </c>
      <c r="B7" s="60"/>
      <c r="C7" s="61">
        <f>TPDA!C6*'EE1'!$C$4:$D$4*'EE1'!$C$5:$D$5*$C$6</f>
        <v>0</v>
      </c>
      <c r="D7" s="61">
        <f>TPDA!C6*'EE1'!$C$4*'EE1'!$C$5*$D$6</f>
        <v>0</v>
      </c>
      <c r="E7" s="61">
        <f>TPDA!D6*$E$4*$E$5*$E$6</f>
        <v>0</v>
      </c>
      <c r="F7" s="61">
        <f>TPDA!D6*$E$5*$E$5*$F$6</f>
        <v>0</v>
      </c>
      <c r="G7" s="61">
        <f>TPDA!E6*$G$4*$G$5*$G$6</f>
        <v>0</v>
      </c>
      <c r="H7" s="61">
        <f>TPDA!E6*$G$4*$G$5*$H$6</f>
        <v>0</v>
      </c>
      <c r="I7" s="61">
        <f>TPDA!F6*$I$4*$I$5*$I$6</f>
        <v>0</v>
      </c>
      <c r="J7" s="61">
        <f>TPDA!F6*$I$4*$I$5*$J$6</f>
        <v>0</v>
      </c>
      <c r="K7" s="61">
        <f>TPDA!G6*$K$4*$K$5*$K$6</f>
        <v>0</v>
      </c>
      <c r="L7" s="61">
        <f>TPDA!G6*$K$4*$K$5*$L$6</f>
        <v>0</v>
      </c>
      <c r="M7" s="61">
        <f>TPDA!H6*$M$4*$M$5*$M$6</f>
        <v>0</v>
      </c>
      <c r="N7" s="61">
        <f>TPDA!H6*$M$4*$M$5*$N$6</f>
        <v>0</v>
      </c>
      <c r="O7" s="61">
        <f>TPDA!I6*$O$4*$O$5*$O$6</f>
        <v>0</v>
      </c>
      <c r="P7" s="61">
        <f>TPDA!I6*$O$4*$O$5*$P$6</f>
        <v>0</v>
      </c>
      <c r="Q7" s="61">
        <f>TPDA!J6*$Q$4*$Q$5*$Q$6</f>
        <v>0</v>
      </c>
      <c r="R7" s="61">
        <f>TPDA!J6*$Q$4*$Q$5*$R$6</f>
        <v>0</v>
      </c>
      <c r="S7" s="61">
        <f>TPDA!K6*$S$4*$S$5*$S$6</f>
        <v>0</v>
      </c>
      <c r="T7" s="61">
        <f>TPDA!K6*$S$4*$S$5*$T$6</f>
        <v>0</v>
      </c>
      <c r="U7" s="61">
        <f>TPDA!L6*$U$4*$U$5*$U$6</f>
        <v>0</v>
      </c>
      <c r="V7" s="61">
        <f>TPDA!L6*$U$4*$U$5*$V$6</f>
        <v>0</v>
      </c>
      <c r="W7" s="61">
        <f>TPDA!M6*$W$4*$W$5*$W$6</f>
        <v>0</v>
      </c>
      <c r="X7" s="61">
        <f>TPDA!M6*$W$4*$W$5*$X$6</f>
        <v>0</v>
      </c>
      <c r="Y7" s="61">
        <f>TPDA!N6*$Y$4*$Y$5*$Y$6</f>
        <v>0</v>
      </c>
      <c r="Z7" s="61">
        <f>TPDA!N6*$Y$4*$Y$5*$Z$6</f>
        <v>0</v>
      </c>
      <c r="AA7" s="59">
        <f>SUM(C7:Z7)</f>
        <v>0</v>
      </c>
      <c r="AB7" s="55">
        <f>AA7*365</f>
        <v>0</v>
      </c>
    </row>
    <row r="8" spans="1:38" x14ac:dyDescent="0.25">
      <c r="A8" s="66">
        <f>+A7+1</f>
        <v>2016</v>
      </c>
      <c r="B8" s="59" t="s">
        <v>87</v>
      </c>
      <c r="C8" s="61">
        <f>TPDA!C7*'EE1'!$C$4:$D$4*'EE1'!$C$5:$D$5*$C$6</f>
        <v>0</v>
      </c>
      <c r="D8" s="61">
        <f>TPDA!C7*'EE1'!$C$4*'EE1'!$C$5*$D$6</f>
        <v>0</v>
      </c>
      <c r="E8" s="61">
        <f>TPDA!D7*$E$4*$E$5*$E$6</f>
        <v>0</v>
      </c>
      <c r="F8" s="61">
        <f>TPDA!D7*$E$5*$E$5*$F$6</f>
        <v>0</v>
      </c>
      <c r="G8" s="61">
        <f>TPDA!E7*$G$4*$G$5*$G$6</f>
        <v>0</v>
      </c>
      <c r="H8" s="61">
        <f>TPDA!E7*$G$4*$G$5*$H$6</f>
        <v>0</v>
      </c>
      <c r="I8" s="61">
        <f>(POWER((0.2*5.5)/8.17,4.32))*TPDA!F7</f>
        <v>0</v>
      </c>
      <c r="J8" s="61">
        <f>TPDA!F7*$I$4*$I$5*$J$6</f>
        <v>0</v>
      </c>
      <c r="K8" s="61">
        <f>TPDA!G7*$K$4*$K$5*$K$6</f>
        <v>0</v>
      </c>
      <c r="L8" s="61">
        <f>TPDA!G7*$K$4*$K$5*$L$6</f>
        <v>0</v>
      </c>
      <c r="M8" s="61">
        <f>TPDA!H7*$M$4*$M$5*$M$6</f>
        <v>0</v>
      </c>
      <c r="N8" s="61">
        <f>TPDA!H7*$M$4*$M$5*$N$6</f>
        <v>0</v>
      </c>
      <c r="O8" s="61">
        <f>TPDA!I7*$O$4*$O$5*$O$6</f>
        <v>0</v>
      </c>
      <c r="P8" s="61">
        <f>TPDA!I7*$O$4*$O$5*$P$6</f>
        <v>0</v>
      </c>
      <c r="Q8" s="61">
        <f>TPDA!J7*$Q$4*$Q$5*$Q$6</f>
        <v>0</v>
      </c>
      <c r="R8" s="61">
        <f>TPDA!J7*$Q$4*$Q$5*$R$6</f>
        <v>0</v>
      </c>
      <c r="S8" s="61">
        <f>TPDA!K7*$S$4*$S$5*$S$6</f>
        <v>0</v>
      </c>
      <c r="T8" s="61">
        <f>TPDA!K7*$S$4*$S$5*$T$6</f>
        <v>0</v>
      </c>
      <c r="U8" s="61">
        <f>TPDA!L7*$U$4*$U$5*$U$6</f>
        <v>0</v>
      </c>
      <c r="V8" s="61">
        <f>TPDA!L7*$U$4*$U$5*$V$6</f>
        <v>0</v>
      </c>
      <c r="W8" s="61">
        <f>TPDA!M7*$W$4*$W$5*$W$6</f>
        <v>0</v>
      </c>
      <c r="X8" s="61">
        <f>TPDA!M7*$W$4*$W$5*$X$6</f>
        <v>0</v>
      </c>
      <c r="Y8" s="61">
        <f>TPDA!N7*$Y$4*$Y$5*$Y$6</f>
        <v>0</v>
      </c>
      <c r="Z8" s="61">
        <f>TPDA!N7*$Y$4*$Y$5*$Z$6</f>
        <v>0</v>
      </c>
      <c r="AA8" s="59">
        <f>SUM(C8:Z8)</f>
        <v>0</v>
      </c>
      <c r="AB8" s="55">
        <f t="shared" ref="AB8:AB31" si="0">AA8*365</f>
        <v>0</v>
      </c>
    </row>
    <row r="9" spans="1:38" x14ac:dyDescent="0.25">
      <c r="A9" s="66">
        <f t="shared" ref="A9:A31" si="1">+A8+1</f>
        <v>2017</v>
      </c>
      <c r="B9" s="59" t="s">
        <v>18</v>
      </c>
      <c r="C9" s="61">
        <f>TPDA!C8*'EE1'!$C$4:$D$4*'EE1'!$C$5:$D$5*$C$6</f>
        <v>0</v>
      </c>
      <c r="D9" s="61">
        <f>TPDA!C8*'EE1'!$C$4*'EE1'!$C$5*$D$6</f>
        <v>0</v>
      </c>
      <c r="E9" s="61">
        <f>TPDA!D8*$E$4*$E$5*$E$6</f>
        <v>0</v>
      </c>
      <c r="F9" s="61">
        <f>TPDA!D8*$E$5*$E$5*$F$6</f>
        <v>0</v>
      </c>
      <c r="G9" s="61">
        <f>TPDA!E8*$G$4*$G$5*$G$6</f>
        <v>0</v>
      </c>
      <c r="H9" s="61">
        <f>TPDA!E8*$G$4*$G$5*$H$6</f>
        <v>0</v>
      </c>
      <c r="I9" s="61">
        <f>(POWER((0.2*5.5)/8.17,4.32))*TPDA!F8</f>
        <v>0</v>
      </c>
      <c r="J9" s="61">
        <f>TPDA!F8*$I$4*$I$5*$J$6</f>
        <v>0</v>
      </c>
      <c r="K9" s="61">
        <f>TPDA!G8*$K$4*$K$5*$K$6</f>
        <v>0</v>
      </c>
      <c r="L9" s="61">
        <f>TPDA!G8*$K$4*$K$5*$L$6</f>
        <v>0</v>
      </c>
      <c r="M9" s="61">
        <f>TPDA!H8*$M$4*$M$5*$M$6</f>
        <v>0</v>
      </c>
      <c r="N9" s="61">
        <f>TPDA!H8*$M$4*$M$5*$N$6</f>
        <v>0</v>
      </c>
      <c r="O9" s="61">
        <f>TPDA!I8*$O$4*$O$5*$O$6</f>
        <v>0</v>
      </c>
      <c r="P9" s="61">
        <f>TPDA!I8*$O$4*$O$5*$P$6</f>
        <v>0</v>
      </c>
      <c r="Q9" s="61">
        <f>TPDA!J8*$Q$4*$Q$5*$Q$6</f>
        <v>0</v>
      </c>
      <c r="R9" s="61">
        <f>TPDA!J8*$Q$4*$Q$5*$R$6</f>
        <v>0</v>
      </c>
      <c r="S9" s="61">
        <f>TPDA!K8*$S$4*$S$5*$S$6</f>
        <v>0</v>
      </c>
      <c r="T9" s="61">
        <f>TPDA!K8*$S$4*$S$5*$T$6</f>
        <v>0</v>
      </c>
      <c r="U9" s="61">
        <f>TPDA!L8*$U$4*$U$5*$U$6</f>
        <v>0</v>
      </c>
      <c r="V9" s="61">
        <f>TPDA!L8*$U$4*$U$5*$V$6</f>
        <v>0</v>
      </c>
      <c r="W9" s="61">
        <f>TPDA!M8*$W$4*$W$5*$W$6</f>
        <v>0</v>
      </c>
      <c r="X9" s="61">
        <f>TPDA!M8*$W$4*$W$5*$X$6</f>
        <v>0</v>
      </c>
      <c r="Y9" s="61">
        <f>TPDA!N8*$Y$4*$Y$5*$Y$6</f>
        <v>0</v>
      </c>
      <c r="Z9" s="61">
        <f>TPDA!N8*$Y$4*$Y$5*$Z$6</f>
        <v>0</v>
      </c>
      <c r="AA9" s="59">
        <f t="shared" ref="AA9:AA31" si="2">SUM(C9:Z9)</f>
        <v>0</v>
      </c>
      <c r="AB9" s="55">
        <f t="shared" si="0"/>
        <v>0</v>
      </c>
      <c r="AL9" s="73">
        <f>(16/8.17)^4.32</f>
        <v>18.238916742207088</v>
      </c>
    </row>
    <row r="10" spans="1:38" x14ac:dyDescent="0.25">
      <c r="A10" s="66">
        <f t="shared" si="1"/>
        <v>2018</v>
      </c>
      <c r="B10" s="134" t="s">
        <v>19</v>
      </c>
      <c r="C10" s="61">
        <f>TPDA!C9*'EE1'!$C$4:$D$4*'EE1'!$C$5:$D$5*$C$6</f>
        <v>0</v>
      </c>
      <c r="D10" s="61">
        <f>TPDA!C9*'EE1'!$C$4*'EE1'!$C$5*$D$6</f>
        <v>0</v>
      </c>
      <c r="E10" s="61">
        <f>TPDA!D9*$E$4*$E$5*$E$6</f>
        <v>0</v>
      </c>
      <c r="F10" s="61">
        <f>TPDA!D9*$E$5*$E$5*$F$6</f>
        <v>0</v>
      </c>
      <c r="G10" s="61">
        <f>TPDA!E9*$G$4*$G$5*$G$6</f>
        <v>0</v>
      </c>
      <c r="H10" s="61">
        <f>TPDA!E9*$G$4*$G$5*$H$6</f>
        <v>0</v>
      </c>
      <c r="I10" s="61">
        <f>(POWER((0.2*5.5)/8.17,4.32))*TPDA!F9</f>
        <v>0</v>
      </c>
      <c r="J10" s="61">
        <f>TPDA!F9*$I$4*$I$5*$J$6</f>
        <v>0</v>
      </c>
      <c r="K10" s="61">
        <f>TPDA!G9*$K$4*$K$5*$K$6</f>
        <v>0</v>
      </c>
      <c r="L10" s="61">
        <f>TPDA!G9*$K$4*$K$5*$L$6</f>
        <v>0</v>
      </c>
      <c r="M10" s="61">
        <f>TPDA!H9*$M$4*$M$5*$M$6</f>
        <v>0</v>
      </c>
      <c r="N10" s="61">
        <f>TPDA!H9*$M$4*$M$5*$N$6</f>
        <v>0</v>
      </c>
      <c r="O10" s="61">
        <f>TPDA!I9*$O$4*$O$5*$O$6</f>
        <v>0</v>
      </c>
      <c r="P10" s="61">
        <f>TPDA!I9*$O$4*$O$5*$P$6</f>
        <v>0</v>
      </c>
      <c r="Q10" s="61">
        <f>TPDA!J9*$Q$4*$Q$5*$Q$6</f>
        <v>0</v>
      </c>
      <c r="R10" s="61">
        <f>TPDA!J9*$Q$4*$Q$5*$R$6</f>
        <v>0</v>
      </c>
      <c r="S10" s="61">
        <f>TPDA!K9*$S$4*$S$5*$S$6</f>
        <v>0</v>
      </c>
      <c r="T10" s="61">
        <f>TPDA!K9*$S$4*$S$5*$T$6</f>
        <v>0</v>
      </c>
      <c r="U10" s="61">
        <f>TPDA!L9*$U$4*$U$5*$U$6</f>
        <v>0</v>
      </c>
      <c r="V10" s="61">
        <f>TPDA!L9*$U$4*$U$5*$V$6</f>
        <v>0</v>
      </c>
      <c r="W10" s="61">
        <f>TPDA!M9*$W$4*$W$5*$W$6</f>
        <v>0</v>
      </c>
      <c r="X10" s="61">
        <f>TPDA!M9*$W$4*$W$5*$X$6</f>
        <v>0</v>
      </c>
      <c r="Y10" s="61">
        <f>TPDA!N9*$Y$4*$Y$5*$Y$6</f>
        <v>0</v>
      </c>
      <c r="Z10" s="61">
        <f>TPDA!N9*$Y$4*$Y$5*$Z$6</f>
        <v>0</v>
      </c>
      <c r="AA10" s="59">
        <f t="shared" si="2"/>
        <v>0</v>
      </c>
      <c r="AB10" s="55">
        <f t="shared" si="0"/>
        <v>0</v>
      </c>
    </row>
    <row r="11" spans="1:38" x14ac:dyDescent="0.25">
      <c r="A11" s="66">
        <f t="shared" si="1"/>
        <v>2019</v>
      </c>
      <c r="B11" s="134"/>
      <c r="C11" s="61">
        <f>TPDA!C10*'EE1'!$C$4:$D$4*'EE1'!$C$5:$D$5*$C$6</f>
        <v>0</v>
      </c>
      <c r="D11" s="61">
        <f>TPDA!C10*'EE1'!$C$4*'EE1'!$C$5*$D$6</f>
        <v>0</v>
      </c>
      <c r="E11" s="61">
        <f>TPDA!D10*$E$4*$E$5*$E$6</f>
        <v>0</v>
      </c>
      <c r="F11" s="61">
        <f>TPDA!D10*$E$5*$E$5*$F$6</f>
        <v>0</v>
      </c>
      <c r="G11" s="61">
        <f>TPDA!E10*$G$4*$G$5*$G$6</f>
        <v>0</v>
      </c>
      <c r="H11" s="61">
        <f>TPDA!E10*$G$4*$G$5*$H$6</f>
        <v>0</v>
      </c>
      <c r="I11" s="61">
        <f>(POWER((0.2*5.5)/8.17,4.32))*TPDA!F10</f>
        <v>0</v>
      </c>
      <c r="J11" s="61">
        <f>TPDA!F10*$I$4*$I$5*$J$6</f>
        <v>0</v>
      </c>
      <c r="K11" s="61">
        <f>TPDA!G10*$K$4*$K$5*$K$6</f>
        <v>0</v>
      </c>
      <c r="L11" s="61">
        <f>TPDA!G10*$K$4*$K$5*$L$6</f>
        <v>0</v>
      </c>
      <c r="M11" s="61">
        <f>TPDA!H10*$M$4*$M$5*$M$6</f>
        <v>0</v>
      </c>
      <c r="N11" s="61">
        <f>TPDA!H10*$M$4*$M$5*$N$6</f>
        <v>0</v>
      </c>
      <c r="O11" s="61">
        <f>TPDA!I10*$O$4*$O$5*$O$6</f>
        <v>0</v>
      </c>
      <c r="P11" s="61">
        <f>TPDA!I10*$O$4*$O$5*$P$6</f>
        <v>0</v>
      </c>
      <c r="Q11" s="61">
        <f>TPDA!J10*$Q$4*$Q$5*$Q$6</f>
        <v>0</v>
      </c>
      <c r="R11" s="61">
        <f>TPDA!J10*$Q$4*$Q$5*$R$6</f>
        <v>0</v>
      </c>
      <c r="S11" s="61">
        <f>TPDA!K10*$S$4*$S$5*$S$6</f>
        <v>0</v>
      </c>
      <c r="T11" s="61">
        <f>TPDA!K10*$S$4*$S$5*$T$6</f>
        <v>0</v>
      </c>
      <c r="U11" s="61">
        <f>TPDA!L10*$U$4*$U$5*$U$6</f>
        <v>0</v>
      </c>
      <c r="V11" s="61">
        <f>TPDA!L10*$U$4*$U$5*$V$6</f>
        <v>0</v>
      </c>
      <c r="W11" s="61">
        <f>TPDA!M10*$W$4*$W$5*$W$6</f>
        <v>0</v>
      </c>
      <c r="X11" s="61">
        <f>TPDA!M10*$W$4*$W$5*$X$6</f>
        <v>0</v>
      </c>
      <c r="Y11" s="61">
        <f>TPDA!N10*$Y$4*$Y$5*$Y$6</f>
        <v>0</v>
      </c>
      <c r="Z11" s="61">
        <f>TPDA!N10*$Y$4*$Y$5*$Z$6</f>
        <v>0</v>
      </c>
      <c r="AA11" s="59">
        <f t="shared" si="2"/>
        <v>0</v>
      </c>
      <c r="AB11" s="55">
        <f t="shared" si="0"/>
        <v>0</v>
      </c>
    </row>
    <row r="12" spans="1:38" x14ac:dyDescent="0.25">
      <c r="A12" s="66">
        <f t="shared" si="1"/>
        <v>2020</v>
      </c>
      <c r="B12" s="134"/>
      <c r="C12" s="61">
        <f>TPDA!C11*'EE1'!$C$4:$D$4*'EE1'!$C$5:$D$5*$C$6</f>
        <v>0</v>
      </c>
      <c r="D12" s="61">
        <f>TPDA!C11*'EE1'!$C$4*'EE1'!$C$5*$D$6</f>
        <v>0</v>
      </c>
      <c r="E12" s="61">
        <f>TPDA!D11*$E$4*$E$5*$E$6</f>
        <v>0</v>
      </c>
      <c r="F12" s="61">
        <f>TPDA!D11*$E$5*$E$5*$F$6</f>
        <v>0</v>
      </c>
      <c r="G12" s="61">
        <f>TPDA!E11*$G$4*$G$5*$G$6</f>
        <v>0</v>
      </c>
      <c r="H12" s="61">
        <f>TPDA!E11*$G$4*$G$5*$H$6</f>
        <v>0</v>
      </c>
      <c r="I12" s="61">
        <f>(POWER((0.2*5.5)/8.17,4.32))*TPDA!F11</f>
        <v>0</v>
      </c>
      <c r="J12" s="61">
        <f>TPDA!F11*$I$4*$I$5*$J$6</f>
        <v>0</v>
      </c>
      <c r="K12" s="61">
        <f>TPDA!G11*$K$4*$K$5*$K$6</f>
        <v>0</v>
      </c>
      <c r="L12" s="61">
        <f>TPDA!G11*$K$4*$K$5*$L$6</f>
        <v>0</v>
      </c>
      <c r="M12" s="61">
        <f>TPDA!H11*$M$4*$M$5*$M$6</f>
        <v>0</v>
      </c>
      <c r="N12" s="61">
        <f>TPDA!H11*$M$4*$M$5*$N$6</f>
        <v>0</v>
      </c>
      <c r="O12" s="61">
        <f>TPDA!I11*$O$4*$O$5*$O$6</f>
        <v>0</v>
      </c>
      <c r="P12" s="61">
        <f>TPDA!I11*$O$4*$O$5*$P$6</f>
        <v>0</v>
      </c>
      <c r="Q12" s="61">
        <f>TPDA!J11*$Q$4*$Q$5*$Q$6</f>
        <v>0</v>
      </c>
      <c r="R12" s="61">
        <f>TPDA!J11*$Q$4*$Q$5*$R$6</f>
        <v>0</v>
      </c>
      <c r="S12" s="61">
        <f>TPDA!K11*$S$4*$S$5*$S$6</f>
        <v>0</v>
      </c>
      <c r="T12" s="61">
        <f>TPDA!K11*$S$4*$S$5*$T$6</f>
        <v>0</v>
      </c>
      <c r="U12" s="61">
        <f>TPDA!L11*$U$4*$U$5*$U$6</f>
        <v>0</v>
      </c>
      <c r="V12" s="61">
        <f>TPDA!L11*$U$4*$U$5*$V$6</f>
        <v>0</v>
      </c>
      <c r="W12" s="61">
        <f>TPDA!M11*$W$4*$W$5*$W$6</f>
        <v>0</v>
      </c>
      <c r="X12" s="61">
        <f>TPDA!M11*$W$4*$W$5*$X$6</f>
        <v>0</v>
      </c>
      <c r="Y12" s="61">
        <f>TPDA!N11*$Y$4*$Y$5*$Y$6</f>
        <v>0</v>
      </c>
      <c r="Z12" s="61">
        <f>TPDA!N11*$Y$4*$Y$5*$Z$6</f>
        <v>0</v>
      </c>
      <c r="AA12" s="59">
        <f t="shared" si="2"/>
        <v>0</v>
      </c>
      <c r="AB12" s="55">
        <f t="shared" si="0"/>
        <v>0</v>
      </c>
    </row>
    <row r="13" spans="1:38" x14ac:dyDescent="0.25">
      <c r="A13" s="66">
        <f t="shared" si="1"/>
        <v>2021</v>
      </c>
      <c r="B13" s="135" t="s">
        <v>20</v>
      </c>
      <c r="C13" s="61">
        <f>TPDA!C12*'EE1'!$C$4:$D$4*'EE1'!$C$5:$D$5*$C$6</f>
        <v>0</v>
      </c>
      <c r="D13" s="61">
        <f>TPDA!C12*'EE1'!$C$4*'EE1'!$C$5*$D$6</f>
        <v>0</v>
      </c>
      <c r="E13" s="61">
        <f>TPDA!D12*$E$4*$E$5*$E$6</f>
        <v>0</v>
      </c>
      <c r="F13" s="61">
        <f>TPDA!D12*$E$5*$E$5*$F$6</f>
        <v>0</v>
      </c>
      <c r="G13" s="61">
        <f>TPDA!E12*$G$4*$G$5*$G$6</f>
        <v>0</v>
      </c>
      <c r="H13" s="61">
        <f>TPDA!E12*$G$4*$G$5*$H$6</f>
        <v>0</v>
      </c>
      <c r="I13" s="61">
        <f>(POWER((0.2*5.5)/8.17,4.32))*TPDA!F12</f>
        <v>0</v>
      </c>
      <c r="J13" s="61">
        <f>TPDA!F12*$I$4*$I$5*$J$6</f>
        <v>0</v>
      </c>
      <c r="K13" s="61">
        <f>TPDA!G12*$K$4*$K$5*$K$6</f>
        <v>0</v>
      </c>
      <c r="L13" s="61">
        <f>TPDA!G12*$K$4*$K$5*$L$6</f>
        <v>0</v>
      </c>
      <c r="M13" s="61">
        <f>TPDA!H12*$M$4*$M$5*$M$6</f>
        <v>0</v>
      </c>
      <c r="N13" s="61">
        <f>TPDA!H12*$M$4*$M$5*$N$6</f>
        <v>0</v>
      </c>
      <c r="O13" s="61">
        <f>TPDA!I12*$O$4*$O$5*$O$6</f>
        <v>0</v>
      </c>
      <c r="P13" s="61">
        <f>TPDA!I12*$O$4*$O$5*$P$6</f>
        <v>0</v>
      </c>
      <c r="Q13" s="61">
        <f>TPDA!J12*$Q$4*$Q$5*$Q$6</f>
        <v>0</v>
      </c>
      <c r="R13" s="61">
        <f>TPDA!J12*$Q$4*$Q$5*$R$6</f>
        <v>0</v>
      </c>
      <c r="S13" s="61">
        <f>TPDA!K12*$S$4*$S$5*$S$6</f>
        <v>0</v>
      </c>
      <c r="T13" s="61">
        <f>TPDA!K12*$S$4*$S$5*$T$6</f>
        <v>0</v>
      </c>
      <c r="U13" s="61">
        <f>TPDA!L12*$U$4*$U$5*$U$6</f>
        <v>0</v>
      </c>
      <c r="V13" s="61">
        <f>TPDA!L12*$U$4*$U$5*$V$6</f>
        <v>0</v>
      </c>
      <c r="W13" s="61">
        <f>TPDA!M12*$W$4*$W$5*$W$6</f>
        <v>0</v>
      </c>
      <c r="X13" s="61">
        <f>TPDA!M12*$W$4*$W$5*$X$6</f>
        <v>0</v>
      </c>
      <c r="Y13" s="61">
        <f>TPDA!N12*$Y$4*$Y$5*$Y$6</f>
        <v>0</v>
      </c>
      <c r="Z13" s="61">
        <f>TPDA!N12*$Y$4*$Y$5*$Z$6</f>
        <v>0</v>
      </c>
      <c r="AA13" s="59">
        <f t="shared" si="2"/>
        <v>0</v>
      </c>
      <c r="AB13" s="55">
        <f t="shared" si="0"/>
        <v>0</v>
      </c>
    </row>
    <row r="14" spans="1:38" x14ac:dyDescent="0.25">
      <c r="A14" s="66">
        <f t="shared" si="1"/>
        <v>2022</v>
      </c>
      <c r="B14" s="136"/>
      <c r="C14" s="61">
        <f>TPDA!C13*'EE1'!$C$4:$D$4*'EE1'!$C$5:$D$5*$C$6</f>
        <v>0</v>
      </c>
      <c r="D14" s="61">
        <f>TPDA!C13*'EE1'!$C$4*'EE1'!$C$5*$D$6</f>
        <v>0</v>
      </c>
      <c r="E14" s="61">
        <f>TPDA!D13*$E$4*$E$5*$E$6</f>
        <v>0</v>
      </c>
      <c r="F14" s="61">
        <f>TPDA!D13*$E$5*$E$5*$F$6</f>
        <v>0</v>
      </c>
      <c r="G14" s="61">
        <f>TPDA!E13*$G$4*$G$5*$G$6</f>
        <v>0</v>
      </c>
      <c r="H14" s="61">
        <f>TPDA!E13*$G$4*$G$5*$H$6</f>
        <v>0</v>
      </c>
      <c r="I14" s="61">
        <f>(POWER((0.2*5.5)/8.17,4.32))*TPDA!F13</f>
        <v>0</v>
      </c>
      <c r="J14" s="61">
        <f>TPDA!F13*$I$4*$I$5*$J$6</f>
        <v>0</v>
      </c>
      <c r="K14" s="61">
        <f>TPDA!G13*$K$4*$K$5*$K$6</f>
        <v>0</v>
      </c>
      <c r="L14" s="61">
        <f>TPDA!G13*$K$4*$K$5*$L$6</f>
        <v>0</v>
      </c>
      <c r="M14" s="61">
        <f>TPDA!H13*$M$4*$M$5*$M$6</f>
        <v>0</v>
      </c>
      <c r="N14" s="61">
        <f>TPDA!H13*$M$4*$M$5*$N$6</f>
        <v>0</v>
      </c>
      <c r="O14" s="61">
        <f>TPDA!I13*$O$4*$O$5*$O$6</f>
        <v>0</v>
      </c>
      <c r="P14" s="61">
        <f>TPDA!I13*$O$4*$O$5*$P$6</f>
        <v>0</v>
      </c>
      <c r="Q14" s="61">
        <f>TPDA!J13*$Q$4*$Q$5*$Q$6</f>
        <v>0</v>
      </c>
      <c r="R14" s="61">
        <f>TPDA!J13*$Q$4*$Q$5*$R$6</f>
        <v>0</v>
      </c>
      <c r="S14" s="61">
        <f>TPDA!K13*$S$4*$S$5*$S$6</f>
        <v>0</v>
      </c>
      <c r="T14" s="61">
        <f>TPDA!K13*$S$4*$S$5*$T$6</f>
        <v>0</v>
      </c>
      <c r="U14" s="61">
        <f>TPDA!L13*$U$4*$U$5*$U$6</f>
        <v>0</v>
      </c>
      <c r="V14" s="61">
        <f>TPDA!L13*$U$4*$U$5*$V$6</f>
        <v>0</v>
      </c>
      <c r="W14" s="61">
        <f>TPDA!M13*$W$4*$W$5*$W$6</f>
        <v>0</v>
      </c>
      <c r="X14" s="61">
        <f>TPDA!M13*$W$4*$W$5*$X$6</f>
        <v>0</v>
      </c>
      <c r="Y14" s="61">
        <f>TPDA!N13*$Y$4*$Y$5*$Y$6</f>
        <v>0</v>
      </c>
      <c r="Z14" s="61">
        <f>TPDA!N13*$Y$4*$Y$5*$Z$6</f>
        <v>0</v>
      </c>
      <c r="AA14" s="59">
        <f t="shared" si="2"/>
        <v>0</v>
      </c>
      <c r="AB14" s="55">
        <f t="shared" si="0"/>
        <v>0</v>
      </c>
      <c r="AL14" s="74">
        <f>(18/15.08)^4.14</f>
        <v>2.0808779928782002</v>
      </c>
    </row>
    <row r="15" spans="1:38" x14ac:dyDescent="0.25">
      <c r="A15" s="66">
        <f t="shared" si="1"/>
        <v>2023</v>
      </c>
      <c r="B15" s="136"/>
      <c r="C15" s="61">
        <f>TPDA!C14*'EE1'!$C$4:$D$4*'EE1'!$C$5:$D$5*$C$6</f>
        <v>0</v>
      </c>
      <c r="D15" s="61">
        <f>TPDA!C14*'EE1'!$C$4*'EE1'!$C$5*$D$6</f>
        <v>0</v>
      </c>
      <c r="E15" s="61">
        <f>TPDA!D14*$E$4*$E$5*$E$6</f>
        <v>0</v>
      </c>
      <c r="F15" s="61">
        <f>TPDA!D14*$E$5*$E$5*$F$6</f>
        <v>0</v>
      </c>
      <c r="G15" s="61">
        <f>TPDA!E14*$G$4*$G$5*$G$6</f>
        <v>0</v>
      </c>
      <c r="H15" s="61">
        <f>TPDA!E14*$G$4*$G$5*$H$6</f>
        <v>0</v>
      </c>
      <c r="I15" s="61">
        <f>(POWER((0.2*5.5)/8.17,4.32))*TPDA!F14</f>
        <v>0</v>
      </c>
      <c r="J15" s="61">
        <f>TPDA!F14*$I$4*$I$5*$J$6</f>
        <v>0</v>
      </c>
      <c r="K15" s="61">
        <f>TPDA!G14*$K$4*$K$5*$K$6</f>
        <v>0</v>
      </c>
      <c r="L15" s="61">
        <f>TPDA!G14*$K$4*$K$5*$L$6</f>
        <v>0</v>
      </c>
      <c r="M15" s="61">
        <f>TPDA!H14*$M$4*$M$5*$M$6</f>
        <v>0</v>
      </c>
      <c r="N15" s="61">
        <f>TPDA!H14*$M$4*$M$5*$N$6</f>
        <v>0</v>
      </c>
      <c r="O15" s="61">
        <f>TPDA!I14*$O$4*$O$5*$O$6</f>
        <v>0</v>
      </c>
      <c r="P15" s="61">
        <f>TPDA!I14*$O$4*$O$5*$P$6</f>
        <v>0</v>
      </c>
      <c r="Q15" s="61">
        <f>TPDA!J14*$Q$4*$Q$5*$Q$6</f>
        <v>0</v>
      </c>
      <c r="R15" s="61">
        <f>TPDA!J14*$Q$4*$Q$5*$R$6</f>
        <v>0</v>
      </c>
      <c r="S15" s="61">
        <f>TPDA!K14*$S$4*$S$5*$S$6</f>
        <v>0</v>
      </c>
      <c r="T15" s="61">
        <f>TPDA!K14*$S$4*$S$5*$T$6</f>
        <v>0</v>
      </c>
      <c r="U15" s="61">
        <f>TPDA!L14*$U$4*$U$5*$U$6</f>
        <v>0</v>
      </c>
      <c r="V15" s="61">
        <f>TPDA!L14*$U$4*$U$5*$V$6</f>
        <v>0</v>
      </c>
      <c r="W15" s="61">
        <f>TPDA!M14*$W$4*$W$5*$W$6</f>
        <v>0</v>
      </c>
      <c r="X15" s="61">
        <f>TPDA!M14*$W$4*$W$5*$X$6</f>
        <v>0</v>
      </c>
      <c r="Y15" s="61">
        <f>TPDA!N14*$Y$4*$Y$5*$Y$6</f>
        <v>0</v>
      </c>
      <c r="Z15" s="61">
        <f>TPDA!N14*$Y$4*$Y$5*$Z$6</f>
        <v>0</v>
      </c>
      <c r="AA15" s="59">
        <f t="shared" si="2"/>
        <v>0</v>
      </c>
      <c r="AB15" s="55">
        <f t="shared" si="0"/>
        <v>0</v>
      </c>
    </row>
    <row r="16" spans="1:38" x14ac:dyDescent="0.25">
      <c r="A16" s="66">
        <f t="shared" si="1"/>
        <v>2024</v>
      </c>
      <c r="B16" s="136"/>
      <c r="C16" s="61">
        <f>TPDA!C15*'EE1'!$C$4:$D$4*'EE1'!$C$5:$D$5*$C$6</f>
        <v>0</v>
      </c>
      <c r="D16" s="61">
        <f>TPDA!C15*'EE1'!$C$4*'EE1'!$C$5*$D$6</f>
        <v>0</v>
      </c>
      <c r="E16" s="61">
        <f>TPDA!D15*$E$4*$E$5*$E$6</f>
        <v>0</v>
      </c>
      <c r="F16" s="61">
        <f>TPDA!D15*$E$5*$E$5*$F$6</f>
        <v>0</v>
      </c>
      <c r="G16" s="61">
        <f>TPDA!E15*$G$4*$G$5*$G$6</f>
        <v>0</v>
      </c>
      <c r="H16" s="61">
        <f>TPDA!E15*$G$4*$G$5*$H$6</f>
        <v>0</v>
      </c>
      <c r="I16" s="61">
        <f>(POWER((0.2*5.5)/8.17,4.32))*TPDA!F15</f>
        <v>0</v>
      </c>
      <c r="J16" s="61">
        <f>TPDA!F15*$I$4*$I$5*$J$6</f>
        <v>0</v>
      </c>
      <c r="K16" s="61">
        <f>TPDA!G15*$K$4*$K$5*$K$6</f>
        <v>0</v>
      </c>
      <c r="L16" s="61">
        <f>TPDA!G15*$K$4*$K$5*$L$6</f>
        <v>0</v>
      </c>
      <c r="M16" s="61">
        <f>TPDA!H15*$M$4*$M$5*$M$6</f>
        <v>0</v>
      </c>
      <c r="N16" s="61">
        <f>TPDA!H15*$M$4*$M$5*$N$6</f>
        <v>0</v>
      </c>
      <c r="O16" s="61">
        <f>TPDA!I15*$O$4*$O$5*$O$6</f>
        <v>0</v>
      </c>
      <c r="P16" s="61">
        <f>TPDA!I15*$O$4*$O$5*$P$6</f>
        <v>0</v>
      </c>
      <c r="Q16" s="61">
        <f>TPDA!J15*$Q$4*$Q$5*$Q$6</f>
        <v>0</v>
      </c>
      <c r="R16" s="61">
        <f>TPDA!J15*$Q$4*$Q$5*$R$6</f>
        <v>0</v>
      </c>
      <c r="S16" s="61">
        <f>TPDA!K15*$S$4*$S$5*$S$6</f>
        <v>0</v>
      </c>
      <c r="T16" s="61">
        <f>TPDA!K15*$S$4*$S$5*$T$6</f>
        <v>0</v>
      </c>
      <c r="U16" s="61">
        <f>TPDA!L15*$U$4*$U$5*$U$6</f>
        <v>0</v>
      </c>
      <c r="V16" s="61">
        <f>TPDA!L15*$U$4*$U$5*$V$6</f>
        <v>0</v>
      </c>
      <c r="W16" s="61">
        <f>TPDA!M15*$W$4*$W$5*$W$6</f>
        <v>0</v>
      </c>
      <c r="X16" s="61">
        <f>TPDA!M15*$W$4*$W$5*$X$6</f>
        <v>0</v>
      </c>
      <c r="Y16" s="61">
        <f>TPDA!N15*$Y$4*$Y$5*$Y$6</f>
        <v>0</v>
      </c>
      <c r="Z16" s="61">
        <f>TPDA!N15*$Y$4*$Y$5*$Z$6</f>
        <v>0</v>
      </c>
      <c r="AA16" s="59">
        <f t="shared" si="2"/>
        <v>0</v>
      </c>
      <c r="AB16" s="55">
        <f t="shared" si="0"/>
        <v>0</v>
      </c>
    </row>
    <row r="17" spans="1:38" x14ac:dyDescent="0.25">
      <c r="A17" s="66">
        <f t="shared" si="1"/>
        <v>2025</v>
      </c>
      <c r="B17" s="136"/>
      <c r="C17" s="61">
        <f>TPDA!C16*'EE1'!$C$4:$D$4*'EE1'!$C$5:$D$5*$C$6</f>
        <v>0</v>
      </c>
      <c r="D17" s="61">
        <f>TPDA!C16*'EE1'!$C$4*'EE1'!$C$5*$D$6</f>
        <v>0</v>
      </c>
      <c r="E17" s="61">
        <f>TPDA!D16*$E$4*$E$5*$E$6</f>
        <v>0</v>
      </c>
      <c r="F17" s="61">
        <f>TPDA!D16*$E$5*$E$5*$F$6</f>
        <v>0</v>
      </c>
      <c r="G17" s="61">
        <f>TPDA!E16*$G$4*$G$5*$G$6</f>
        <v>0</v>
      </c>
      <c r="H17" s="61">
        <f>TPDA!E16*$G$4*$G$5*$H$6</f>
        <v>0</v>
      </c>
      <c r="I17" s="61">
        <f>(POWER((0.2*5.5)/8.17,4.32))*TPDA!F16</f>
        <v>0</v>
      </c>
      <c r="J17" s="61">
        <f>TPDA!F16*$I$4*$I$5*$J$6</f>
        <v>0</v>
      </c>
      <c r="K17" s="61">
        <f>TPDA!G16*$K$4*$K$5*$K$6</f>
        <v>0</v>
      </c>
      <c r="L17" s="61">
        <f>TPDA!G16*$K$4*$K$5*$L$6</f>
        <v>0</v>
      </c>
      <c r="M17" s="61">
        <f>TPDA!H16*$M$4*$M$5*$M$6</f>
        <v>0</v>
      </c>
      <c r="N17" s="61">
        <f>TPDA!H16*$M$4*$M$5*$N$6</f>
        <v>0</v>
      </c>
      <c r="O17" s="61">
        <f>TPDA!I16*$O$4*$O$5*$O$6</f>
        <v>0</v>
      </c>
      <c r="P17" s="61">
        <f>TPDA!I16*$O$4*$O$5*$P$6</f>
        <v>0</v>
      </c>
      <c r="Q17" s="61">
        <f>TPDA!J16*$Q$4*$Q$5*$Q$6</f>
        <v>0</v>
      </c>
      <c r="R17" s="61">
        <f>TPDA!J16*$Q$4*$Q$5*$R$6</f>
        <v>0</v>
      </c>
      <c r="S17" s="61">
        <f>TPDA!K16*$S$4*$S$5*$S$6</f>
        <v>0</v>
      </c>
      <c r="T17" s="61">
        <f>TPDA!K16*$S$4*$S$5*$T$6</f>
        <v>0</v>
      </c>
      <c r="U17" s="61">
        <f>TPDA!L16*$U$4*$U$5*$U$6</f>
        <v>0</v>
      </c>
      <c r="V17" s="61">
        <f>TPDA!L16*$U$4*$U$5*$V$6</f>
        <v>0</v>
      </c>
      <c r="W17" s="61">
        <f>TPDA!M16*$W$4*$W$5*$W$6</f>
        <v>0</v>
      </c>
      <c r="X17" s="61">
        <f>TPDA!M16*$W$4*$W$5*$X$6</f>
        <v>0</v>
      </c>
      <c r="Y17" s="61">
        <f>TPDA!N16*$Y$4*$Y$5*$Y$6</f>
        <v>0</v>
      </c>
      <c r="Z17" s="61">
        <f>TPDA!N16*$Y$4*$Y$5*$Z$6</f>
        <v>0</v>
      </c>
      <c r="AA17" s="59">
        <f t="shared" si="2"/>
        <v>0</v>
      </c>
      <c r="AB17" s="55">
        <f t="shared" si="0"/>
        <v>0</v>
      </c>
    </row>
    <row r="18" spans="1:38" x14ac:dyDescent="0.25">
      <c r="A18" s="66">
        <f t="shared" si="1"/>
        <v>2026</v>
      </c>
      <c r="B18" s="136"/>
      <c r="C18" s="61">
        <f>TPDA!C17*'EE1'!$C$4:$D$4*'EE1'!$C$5:$D$5*$C$6</f>
        <v>0</v>
      </c>
      <c r="D18" s="61">
        <f>TPDA!C17*'EE1'!$C$4*'EE1'!$C$5*$D$6</f>
        <v>0</v>
      </c>
      <c r="E18" s="61">
        <f>TPDA!D17*$E$4*$E$5*$E$6</f>
        <v>0</v>
      </c>
      <c r="F18" s="61">
        <f>TPDA!D17*$E$5*$E$5*$F$6</f>
        <v>0</v>
      </c>
      <c r="G18" s="61">
        <f>TPDA!E17*$G$4*$G$5*$G$6</f>
        <v>0</v>
      </c>
      <c r="H18" s="61">
        <f>TPDA!E17*$G$4*$G$5*$H$6</f>
        <v>0</v>
      </c>
      <c r="I18" s="61">
        <f>(POWER((0.2*5.5)/8.17,4.32))*TPDA!F17</f>
        <v>0</v>
      </c>
      <c r="J18" s="61">
        <f>TPDA!F17*$I$4*$I$5*$J$6</f>
        <v>0</v>
      </c>
      <c r="K18" s="61">
        <f>TPDA!G17*$K$4*$K$5*$K$6</f>
        <v>0</v>
      </c>
      <c r="L18" s="61">
        <f>TPDA!G17*$K$4*$K$5*$L$6</f>
        <v>0</v>
      </c>
      <c r="M18" s="61">
        <f>TPDA!H17*$M$4*$M$5*$M$6</f>
        <v>0</v>
      </c>
      <c r="N18" s="61">
        <f>TPDA!H17*$M$4*$M$5*$N$6</f>
        <v>0</v>
      </c>
      <c r="O18" s="61">
        <f>TPDA!I17*$O$4*$O$5*$O$6</f>
        <v>0</v>
      </c>
      <c r="P18" s="61">
        <f>TPDA!I17*$O$4*$O$5*$P$6</f>
        <v>0</v>
      </c>
      <c r="Q18" s="61">
        <f>TPDA!J17*$Q$4*$Q$5*$Q$6</f>
        <v>0</v>
      </c>
      <c r="R18" s="61">
        <f>TPDA!J17*$Q$4*$Q$5*$R$6</f>
        <v>0</v>
      </c>
      <c r="S18" s="61">
        <f>TPDA!K17*$S$4*$S$5*$S$6</f>
        <v>0</v>
      </c>
      <c r="T18" s="61">
        <f>TPDA!K17*$S$4*$S$5*$T$6</f>
        <v>0</v>
      </c>
      <c r="U18" s="61">
        <f>TPDA!L17*$U$4*$U$5*$U$6</f>
        <v>0</v>
      </c>
      <c r="V18" s="61">
        <f>TPDA!L17*$U$4*$U$5*$V$6</f>
        <v>0</v>
      </c>
      <c r="W18" s="61">
        <f>TPDA!M17*$W$4*$W$5*$W$6</f>
        <v>0</v>
      </c>
      <c r="X18" s="61">
        <f>TPDA!M17*$W$4*$W$5*$X$6</f>
        <v>0</v>
      </c>
      <c r="Y18" s="61">
        <f>TPDA!N17*$Y$4*$Y$5*$Y$6</f>
        <v>0</v>
      </c>
      <c r="Z18" s="61">
        <f>TPDA!N17*$Y$4*$Y$5*$Z$6</f>
        <v>0</v>
      </c>
      <c r="AA18" s="59">
        <f t="shared" si="2"/>
        <v>0</v>
      </c>
      <c r="AB18" s="55">
        <f t="shared" si="0"/>
        <v>0</v>
      </c>
      <c r="AL18" s="75">
        <f>(25/22.98)^4.22</f>
        <v>1.4269532134813139</v>
      </c>
    </row>
    <row r="19" spans="1:38" x14ac:dyDescent="0.25">
      <c r="A19" s="66">
        <f t="shared" si="1"/>
        <v>2027</v>
      </c>
      <c r="B19" s="136"/>
      <c r="C19" s="61">
        <f>TPDA!C18*'EE1'!$C$4:$D$4*'EE1'!$C$5:$D$5*$C$6</f>
        <v>0</v>
      </c>
      <c r="D19" s="61">
        <f>TPDA!C18*'EE1'!$C$4*'EE1'!$C$5*$D$6</f>
        <v>0</v>
      </c>
      <c r="E19" s="61">
        <f>TPDA!D18*$E$4*$E$5*$E$6</f>
        <v>0</v>
      </c>
      <c r="F19" s="61">
        <f>TPDA!D18*$E$5*$E$5*$F$6</f>
        <v>0</v>
      </c>
      <c r="G19" s="61">
        <f>TPDA!E18*$G$4*$G$5*$G$6</f>
        <v>0</v>
      </c>
      <c r="H19" s="61">
        <f>TPDA!E18*$G$4*$G$5*$H$6</f>
        <v>0</v>
      </c>
      <c r="I19" s="61">
        <f>(POWER((0.2*5.5)/8.17,4.32))*TPDA!F18</f>
        <v>0</v>
      </c>
      <c r="J19" s="61">
        <f>TPDA!F18*$I$4*$I$5*$J$6</f>
        <v>0</v>
      </c>
      <c r="K19" s="61">
        <f>TPDA!G18*$K$4*$K$5*$K$6</f>
        <v>0</v>
      </c>
      <c r="L19" s="61">
        <f>TPDA!G18*$K$4*$K$5*$L$6</f>
        <v>0</v>
      </c>
      <c r="M19" s="61">
        <f>TPDA!H18*$M$4*$M$5*$M$6</f>
        <v>0</v>
      </c>
      <c r="N19" s="61">
        <f>TPDA!H18*$M$4*$M$5*$N$6</f>
        <v>0</v>
      </c>
      <c r="O19" s="61">
        <f>TPDA!I18*$O$4*$O$5*$O$6</f>
        <v>0</v>
      </c>
      <c r="P19" s="61">
        <f>TPDA!I18*$O$4*$O$5*$P$6</f>
        <v>0</v>
      </c>
      <c r="Q19" s="61">
        <f>TPDA!J18*$Q$4*$Q$5*$Q$6</f>
        <v>0</v>
      </c>
      <c r="R19" s="61">
        <f>TPDA!J18*$Q$4*$Q$5*$R$6</f>
        <v>0</v>
      </c>
      <c r="S19" s="61">
        <f>TPDA!K18*$S$4*$S$5*$S$6</f>
        <v>0</v>
      </c>
      <c r="T19" s="61">
        <f>TPDA!K18*$S$4*$S$5*$T$6</f>
        <v>0</v>
      </c>
      <c r="U19" s="61">
        <f>TPDA!L18*$U$4*$U$5*$U$6</f>
        <v>0</v>
      </c>
      <c r="V19" s="61">
        <f>TPDA!L18*$U$4*$U$5*$V$6</f>
        <v>0</v>
      </c>
      <c r="W19" s="61">
        <f>TPDA!M18*$W$4*$W$5*$W$6</f>
        <v>0</v>
      </c>
      <c r="X19" s="61">
        <f>TPDA!M18*$W$4*$W$5*$X$6</f>
        <v>0</v>
      </c>
      <c r="Y19" s="61">
        <f>TPDA!N18*$Y$4*$Y$5*$Y$6</f>
        <v>0</v>
      </c>
      <c r="Z19" s="61">
        <f>TPDA!N18*$Y$4*$Y$5*$Z$6</f>
        <v>0</v>
      </c>
      <c r="AA19" s="59">
        <f t="shared" si="2"/>
        <v>0</v>
      </c>
      <c r="AB19" s="55">
        <f t="shared" si="0"/>
        <v>0</v>
      </c>
    </row>
    <row r="20" spans="1:38" x14ac:dyDescent="0.25">
      <c r="A20" s="66">
        <f t="shared" si="1"/>
        <v>2028</v>
      </c>
      <c r="B20" s="136"/>
      <c r="C20" s="61">
        <f>TPDA!C19*'EE1'!$C$4:$D$4*'EE1'!$C$5:$D$5*$C$6</f>
        <v>0</v>
      </c>
      <c r="D20" s="61">
        <f>TPDA!C19*'EE1'!$C$4*'EE1'!$C$5*$D$6</f>
        <v>0</v>
      </c>
      <c r="E20" s="61">
        <f>TPDA!D19*$E$4*$E$5*$E$6</f>
        <v>0</v>
      </c>
      <c r="F20" s="61">
        <f>TPDA!D19*$E$5*$E$5*$F$6</f>
        <v>0</v>
      </c>
      <c r="G20" s="61">
        <f>TPDA!E19*$G$4*$G$5*$G$6</f>
        <v>0</v>
      </c>
      <c r="H20" s="61">
        <f>TPDA!E19*$G$4*$G$5*$H$6</f>
        <v>0</v>
      </c>
      <c r="I20" s="61">
        <f>(POWER((0.2*5.5)/8.17,4.32))*TPDA!F19</f>
        <v>0</v>
      </c>
      <c r="J20" s="61">
        <f>TPDA!F19*$I$4*$I$5*$J$6</f>
        <v>0</v>
      </c>
      <c r="K20" s="61">
        <f>TPDA!G19*$K$4*$K$5*$K$6</f>
        <v>0</v>
      </c>
      <c r="L20" s="61">
        <f>TPDA!G19*$K$4*$K$5*$L$6</f>
        <v>0</v>
      </c>
      <c r="M20" s="61">
        <f>TPDA!H19*$M$4*$M$5*$M$6</f>
        <v>0</v>
      </c>
      <c r="N20" s="61">
        <f>TPDA!H19*$M$4*$M$5*$N$6</f>
        <v>0</v>
      </c>
      <c r="O20" s="61">
        <f>TPDA!I19*$O$4*$O$5*$O$6</f>
        <v>0</v>
      </c>
      <c r="P20" s="61">
        <f>TPDA!I19*$O$4*$O$5*$P$6</f>
        <v>0</v>
      </c>
      <c r="Q20" s="61">
        <f>TPDA!J19*$Q$4*$Q$5*$Q$6</f>
        <v>0</v>
      </c>
      <c r="R20" s="61">
        <f>TPDA!J19*$Q$4*$Q$5*$R$6</f>
        <v>0</v>
      </c>
      <c r="S20" s="61">
        <f>TPDA!K19*$S$4*$S$5*$S$6</f>
        <v>0</v>
      </c>
      <c r="T20" s="61">
        <f>TPDA!K19*$S$4*$S$5*$T$6</f>
        <v>0</v>
      </c>
      <c r="U20" s="61">
        <f>TPDA!L19*$U$4*$U$5*$U$6</f>
        <v>0</v>
      </c>
      <c r="V20" s="61">
        <f>TPDA!L19*$U$4*$U$5*$V$6</f>
        <v>0</v>
      </c>
      <c r="W20" s="61">
        <f>TPDA!M19*$W$4*$W$5*$W$6</f>
        <v>0</v>
      </c>
      <c r="X20" s="61">
        <f>TPDA!M19*$W$4*$W$5*$X$6</f>
        <v>0</v>
      </c>
      <c r="Y20" s="61">
        <f>TPDA!N19*$Y$4*$Y$5*$Y$6</f>
        <v>0</v>
      </c>
      <c r="Z20" s="61">
        <f>TPDA!N19*$Y$4*$Y$5*$Z$6</f>
        <v>0</v>
      </c>
      <c r="AA20" s="59">
        <f t="shared" si="2"/>
        <v>0</v>
      </c>
      <c r="AB20" s="55">
        <f t="shared" si="0"/>
        <v>0</v>
      </c>
    </row>
    <row r="21" spans="1:38" x14ac:dyDescent="0.25">
      <c r="A21" s="66">
        <f t="shared" si="1"/>
        <v>2029</v>
      </c>
      <c r="B21" s="136"/>
      <c r="C21" s="61">
        <f>TPDA!C20*'EE1'!$C$4:$D$4*'EE1'!$C$5:$D$5*$C$6</f>
        <v>0</v>
      </c>
      <c r="D21" s="61">
        <f>TPDA!C20*'EE1'!$C$4*'EE1'!$C$5*$D$6</f>
        <v>0</v>
      </c>
      <c r="E21" s="61">
        <f>TPDA!D20*$E$4*$E$5*$E$6</f>
        <v>0</v>
      </c>
      <c r="F21" s="61">
        <f>TPDA!D20*$E$5*$E$5*$F$6</f>
        <v>0</v>
      </c>
      <c r="G21" s="61">
        <f>TPDA!E20*$G$4*$G$5*$G$6</f>
        <v>0</v>
      </c>
      <c r="H21" s="61">
        <f>TPDA!E20*$G$4*$G$5*$H$6</f>
        <v>0</v>
      </c>
      <c r="I21" s="61">
        <f>(POWER((0.2*5.5)/8.17,4.32))*TPDA!F20</f>
        <v>0</v>
      </c>
      <c r="J21" s="61">
        <f>TPDA!F20*$I$4*$I$5*$J$6</f>
        <v>0</v>
      </c>
      <c r="K21" s="61">
        <f>TPDA!G20*$K$4*$K$5*$K$6</f>
        <v>0</v>
      </c>
      <c r="L21" s="61">
        <f>TPDA!G20*$K$4*$K$5*$L$6</f>
        <v>0</v>
      </c>
      <c r="M21" s="61">
        <f>TPDA!H20*$M$4*$M$5*$M$6</f>
        <v>0</v>
      </c>
      <c r="N21" s="61">
        <f>TPDA!H20*$M$4*$M$5*$N$6</f>
        <v>0</v>
      </c>
      <c r="O21" s="61">
        <f>TPDA!I20*$O$4*$O$5*$O$6</f>
        <v>0</v>
      </c>
      <c r="P21" s="61">
        <f>TPDA!I20*$O$4*$O$5*$P$6</f>
        <v>0</v>
      </c>
      <c r="Q21" s="61">
        <f>TPDA!J20*$Q$4*$Q$5*$Q$6</f>
        <v>0</v>
      </c>
      <c r="R21" s="61">
        <f>TPDA!J20*$Q$4*$Q$5*$R$6</f>
        <v>0</v>
      </c>
      <c r="S21" s="61">
        <f>TPDA!K20*$S$4*$S$5*$S$6</f>
        <v>0</v>
      </c>
      <c r="T21" s="61">
        <f>TPDA!K20*$S$4*$S$5*$T$6</f>
        <v>0</v>
      </c>
      <c r="U21" s="61">
        <f>TPDA!L20*$U$4*$U$5*$U$6</f>
        <v>0</v>
      </c>
      <c r="V21" s="61">
        <f>TPDA!L20*$U$4*$U$5*$V$6</f>
        <v>0</v>
      </c>
      <c r="W21" s="61">
        <f>TPDA!M20*$W$4*$W$5*$W$6</f>
        <v>0</v>
      </c>
      <c r="X21" s="61">
        <f>TPDA!M20*$W$4*$W$5*$X$6</f>
        <v>0</v>
      </c>
      <c r="Y21" s="61">
        <f>TPDA!N20*$Y$4*$Y$5*$Y$6</f>
        <v>0</v>
      </c>
      <c r="Z21" s="61">
        <f>TPDA!N20*$Y$4*$Y$5*$Z$6</f>
        <v>0</v>
      </c>
      <c r="AA21" s="59">
        <f t="shared" si="2"/>
        <v>0</v>
      </c>
      <c r="AB21" s="55">
        <f t="shared" si="0"/>
        <v>0</v>
      </c>
    </row>
    <row r="22" spans="1:38" x14ac:dyDescent="0.25">
      <c r="A22" s="66">
        <f t="shared" si="1"/>
        <v>2030</v>
      </c>
      <c r="B22" s="136"/>
      <c r="C22" s="61">
        <f>TPDA!C21*'EE1'!$C$4:$D$4*'EE1'!$C$5:$D$5*$C$6</f>
        <v>0</v>
      </c>
      <c r="D22" s="61">
        <f>TPDA!C21*'EE1'!$C$4*'EE1'!$C$5*$D$6</f>
        <v>0</v>
      </c>
      <c r="E22" s="61">
        <f>TPDA!D21*$E$4*$E$5*$E$6</f>
        <v>0</v>
      </c>
      <c r="F22" s="61">
        <f>TPDA!D21*$E$5*$E$5*$F$6</f>
        <v>0</v>
      </c>
      <c r="G22" s="61">
        <f>TPDA!E21*$G$4*$G$5*$G$6</f>
        <v>0</v>
      </c>
      <c r="H22" s="61">
        <f>TPDA!E21*$G$4*$G$5*$H$6</f>
        <v>0</v>
      </c>
      <c r="I22" s="61">
        <f>(POWER((0.2*5.5)/8.17,4.32))*TPDA!F21</f>
        <v>0</v>
      </c>
      <c r="J22" s="61">
        <f>TPDA!F21*$I$4*$I$5*$J$6</f>
        <v>0</v>
      </c>
      <c r="K22" s="61">
        <f>TPDA!G21*$K$4*$K$5*$K$6</f>
        <v>0</v>
      </c>
      <c r="L22" s="61">
        <f>TPDA!G21*$K$4*$K$5*$L$6</f>
        <v>0</v>
      </c>
      <c r="M22" s="61">
        <f>TPDA!H21*$M$4*$M$5*$M$6</f>
        <v>0</v>
      </c>
      <c r="N22" s="61">
        <f>TPDA!H21*$M$4*$M$5*$N$6</f>
        <v>0</v>
      </c>
      <c r="O22" s="61">
        <f>TPDA!I21*$O$4*$O$5*$O$6</f>
        <v>0</v>
      </c>
      <c r="P22" s="61">
        <f>TPDA!I21*$O$4*$O$5*$P$6</f>
        <v>0</v>
      </c>
      <c r="Q22" s="61">
        <f>TPDA!J21*$Q$4*$Q$5*$Q$6</f>
        <v>0</v>
      </c>
      <c r="R22" s="61">
        <f>TPDA!J21*$Q$4*$Q$5*$R$6</f>
        <v>0</v>
      </c>
      <c r="S22" s="61">
        <f>TPDA!K21*$S$4*$S$5*$S$6</f>
        <v>0</v>
      </c>
      <c r="T22" s="61">
        <f>TPDA!K21*$S$4*$S$5*$T$6</f>
        <v>0</v>
      </c>
      <c r="U22" s="61">
        <f>TPDA!L21*$U$4*$U$5*$U$6</f>
        <v>0</v>
      </c>
      <c r="V22" s="61">
        <f>TPDA!L21*$U$4*$U$5*$V$6</f>
        <v>0</v>
      </c>
      <c r="W22" s="61">
        <f>TPDA!M21*$W$4*$W$5*$W$6</f>
        <v>0</v>
      </c>
      <c r="X22" s="61">
        <f>TPDA!M21*$W$4*$W$5*$X$6</f>
        <v>0</v>
      </c>
      <c r="Y22" s="61">
        <f>TPDA!N21*$Y$4*$Y$5*$Y$6</f>
        <v>0</v>
      </c>
      <c r="Z22" s="61">
        <f>TPDA!N21*$Y$4*$Y$5*$Z$6</f>
        <v>0</v>
      </c>
      <c r="AA22" s="59">
        <f t="shared" si="2"/>
        <v>0</v>
      </c>
      <c r="AB22" s="55">
        <f t="shared" si="0"/>
        <v>0</v>
      </c>
    </row>
    <row r="23" spans="1:38" x14ac:dyDescent="0.25">
      <c r="A23" s="66">
        <f t="shared" si="1"/>
        <v>2031</v>
      </c>
      <c r="B23" s="136"/>
      <c r="C23" s="61">
        <f>TPDA!C22*'EE1'!$C$4:$D$4*'EE1'!$C$5:$D$5*$C$6</f>
        <v>0</v>
      </c>
      <c r="D23" s="61">
        <f>TPDA!C22*'EE1'!$C$4*'EE1'!$C$5*$D$6</f>
        <v>0</v>
      </c>
      <c r="E23" s="61">
        <f>TPDA!D22*$E$4*$E$5*$E$6</f>
        <v>0</v>
      </c>
      <c r="F23" s="61">
        <f>TPDA!D22*$E$5*$E$5*$F$6</f>
        <v>0</v>
      </c>
      <c r="G23" s="61">
        <f>TPDA!E22*$G$4*$G$5*$G$6</f>
        <v>0</v>
      </c>
      <c r="H23" s="61">
        <f>TPDA!E22*$G$4*$G$5*$H$6</f>
        <v>0</v>
      </c>
      <c r="I23" s="61">
        <f>(POWER((0.2*5.5)/8.17,4.32))*TPDA!F22</f>
        <v>0</v>
      </c>
      <c r="J23" s="61">
        <f>TPDA!F22*$I$4*$I$5*$J$6</f>
        <v>0</v>
      </c>
      <c r="K23" s="61">
        <f>TPDA!G22*$K$4*$K$5*$K$6</f>
        <v>0</v>
      </c>
      <c r="L23" s="61">
        <f>TPDA!G22*$K$4*$K$5*$L$6</f>
        <v>0</v>
      </c>
      <c r="M23" s="61">
        <f>TPDA!H22*$M$4*$M$5*$M$6</f>
        <v>0</v>
      </c>
      <c r="N23" s="61">
        <f>TPDA!H22*$M$4*$M$5*$N$6</f>
        <v>0</v>
      </c>
      <c r="O23" s="61">
        <f>TPDA!I22*$O$4*$O$5*$O$6</f>
        <v>0</v>
      </c>
      <c r="P23" s="61">
        <f>TPDA!I22*$O$4*$O$5*$P$6</f>
        <v>0</v>
      </c>
      <c r="Q23" s="61">
        <f>TPDA!J22*$Q$4*$Q$5*$Q$6</f>
        <v>0</v>
      </c>
      <c r="R23" s="61">
        <f>TPDA!J22*$Q$4*$Q$5*$R$6</f>
        <v>0</v>
      </c>
      <c r="S23" s="61">
        <f>TPDA!K22*$S$4*$S$5*$S$6</f>
        <v>0</v>
      </c>
      <c r="T23" s="61">
        <f>TPDA!K22*$S$4*$S$5*$T$6</f>
        <v>0</v>
      </c>
      <c r="U23" s="61">
        <f>TPDA!L22*$U$4*$U$5*$U$6</f>
        <v>0</v>
      </c>
      <c r="V23" s="61">
        <f>TPDA!L22*$U$4*$U$5*$V$6</f>
        <v>0</v>
      </c>
      <c r="W23" s="61">
        <f>TPDA!M22*$W$4*$W$5*$W$6</f>
        <v>0</v>
      </c>
      <c r="X23" s="61">
        <f>TPDA!M22*$W$4*$W$5*$X$6</f>
        <v>0</v>
      </c>
      <c r="Y23" s="61">
        <f>TPDA!N22*$Y$4*$Y$5*$Y$6</f>
        <v>0</v>
      </c>
      <c r="Z23" s="61">
        <f>TPDA!N22*$Y$4*$Y$5*$Z$6</f>
        <v>0</v>
      </c>
      <c r="AA23" s="59">
        <f t="shared" si="2"/>
        <v>0</v>
      </c>
      <c r="AB23" s="55">
        <f t="shared" si="0"/>
        <v>0</v>
      </c>
    </row>
    <row r="24" spans="1:38" x14ac:dyDescent="0.25">
      <c r="A24" s="66">
        <f t="shared" si="1"/>
        <v>2032</v>
      </c>
      <c r="B24" s="136"/>
      <c r="C24" s="61">
        <f>TPDA!C23*'EE1'!$C$4:$D$4*'EE1'!$C$5:$D$5*$C$6</f>
        <v>0</v>
      </c>
      <c r="D24" s="61">
        <f>TPDA!C23*'EE1'!$C$4*'EE1'!$C$5*$D$6</f>
        <v>0</v>
      </c>
      <c r="E24" s="61">
        <f>TPDA!D23*$E$4*$E$5*$E$6</f>
        <v>0</v>
      </c>
      <c r="F24" s="61">
        <f>TPDA!D23*$E$5*$E$5*$F$6</f>
        <v>0</v>
      </c>
      <c r="G24" s="61">
        <f>TPDA!E23*$G$4*$G$5*$G$6</f>
        <v>0</v>
      </c>
      <c r="H24" s="61">
        <f>TPDA!E23*$G$4*$G$5*$H$6</f>
        <v>0</v>
      </c>
      <c r="I24" s="61">
        <f>(POWER((0.2*5.5)/8.17,4.32))*TPDA!F23</f>
        <v>0</v>
      </c>
      <c r="J24" s="61">
        <f>TPDA!F23*$I$4*$I$5*$J$6</f>
        <v>0</v>
      </c>
      <c r="K24" s="61">
        <f>TPDA!G23*$K$4*$K$5*$K$6</f>
        <v>0</v>
      </c>
      <c r="L24" s="61">
        <f>TPDA!G23*$K$4*$K$5*$L$6</f>
        <v>0</v>
      </c>
      <c r="M24" s="61">
        <f>TPDA!H23*$M$4*$M$5*$M$6</f>
        <v>0</v>
      </c>
      <c r="N24" s="61">
        <f>TPDA!H23*$M$4*$M$5*$N$6</f>
        <v>0</v>
      </c>
      <c r="O24" s="61">
        <f>TPDA!I23*$O$4*$O$5*$O$6</f>
        <v>0</v>
      </c>
      <c r="P24" s="61">
        <f>TPDA!I23*$O$4*$O$5*$P$6</f>
        <v>0</v>
      </c>
      <c r="Q24" s="61">
        <f>TPDA!J23*$Q$4*$Q$5*$Q$6</f>
        <v>0</v>
      </c>
      <c r="R24" s="61">
        <f>TPDA!J23*$Q$4*$Q$5*$R$6</f>
        <v>0</v>
      </c>
      <c r="S24" s="61">
        <f>TPDA!K23*$S$4*$S$5*$S$6</f>
        <v>0</v>
      </c>
      <c r="T24" s="61">
        <f>TPDA!K23*$S$4*$S$5*$T$6</f>
        <v>0</v>
      </c>
      <c r="U24" s="61">
        <f>TPDA!L23*$U$4*$U$5*$U$6</f>
        <v>0</v>
      </c>
      <c r="V24" s="61">
        <f>TPDA!L23*$U$4*$U$5*$V$6</f>
        <v>0</v>
      </c>
      <c r="W24" s="61">
        <f>TPDA!M23*$W$4*$W$5*$W$6</f>
        <v>0</v>
      </c>
      <c r="X24" s="61">
        <f>TPDA!M23*$W$4*$W$5*$X$6</f>
        <v>0</v>
      </c>
      <c r="Y24" s="61">
        <f>TPDA!N23*$Y$4*$Y$5*$Y$6</f>
        <v>0</v>
      </c>
      <c r="Z24" s="61">
        <f>TPDA!N23*$Y$4*$Y$5*$Z$6</f>
        <v>0</v>
      </c>
      <c r="AA24" s="59">
        <f t="shared" si="2"/>
        <v>0</v>
      </c>
      <c r="AB24" s="55">
        <f t="shared" si="0"/>
        <v>0</v>
      </c>
    </row>
    <row r="25" spans="1:38" x14ac:dyDescent="0.25">
      <c r="A25" s="66">
        <f t="shared" si="1"/>
        <v>2033</v>
      </c>
      <c r="B25" s="136"/>
      <c r="C25" s="61">
        <f>TPDA!C24*'EE1'!$C$4:$D$4*'EE1'!$C$5:$D$5*$C$6</f>
        <v>0</v>
      </c>
      <c r="D25" s="61">
        <f>TPDA!C24*'EE1'!$C$4*'EE1'!$C$5*$D$6</f>
        <v>0</v>
      </c>
      <c r="E25" s="61">
        <f>TPDA!D24*$E$4*$E$5*$E$6</f>
        <v>0</v>
      </c>
      <c r="F25" s="61">
        <f>TPDA!D24*$E$5*$E$5*$F$6</f>
        <v>0</v>
      </c>
      <c r="G25" s="61">
        <f>TPDA!E24*$G$4*$G$5*$G$6</f>
        <v>0</v>
      </c>
      <c r="H25" s="61">
        <f>TPDA!E24*$G$4*$G$5*$H$6</f>
        <v>0</v>
      </c>
      <c r="I25" s="61">
        <f>(POWER((0.2*5.5)/8.17,4.32))*TPDA!F24</f>
        <v>0</v>
      </c>
      <c r="J25" s="61">
        <f>TPDA!F24*$I$4*$I$5*$J$6</f>
        <v>0</v>
      </c>
      <c r="K25" s="61">
        <f>TPDA!G24*$K$4*$K$5*$K$6</f>
        <v>0</v>
      </c>
      <c r="L25" s="61">
        <f>TPDA!G24*$K$4*$K$5*$L$6</f>
        <v>0</v>
      </c>
      <c r="M25" s="61">
        <f>TPDA!H24*$M$4*$M$5*$M$6</f>
        <v>0</v>
      </c>
      <c r="N25" s="61">
        <f>TPDA!H24*$M$4*$M$5*$N$6</f>
        <v>0</v>
      </c>
      <c r="O25" s="61">
        <f>TPDA!I24*$O$4*$O$5*$O$6</f>
        <v>0</v>
      </c>
      <c r="P25" s="61">
        <f>TPDA!I24*$O$4*$O$5*$P$6</f>
        <v>0</v>
      </c>
      <c r="Q25" s="61">
        <f>TPDA!J24*$Q$4*$Q$5*$Q$6</f>
        <v>0</v>
      </c>
      <c r="R25" s="61">
        <f>TPDA!J24*$Q$4*$Q$5*$R$6</f>
        <v>0</v>
      </c>
      <c r="S25" s="61">
        <f>TPDA!K24*$S$4*$S$5*$S$6</f>
        <v>0</v>
      </c>
      <c r="T25" s="61">
        <f>TPDA!K24*$S$4*$S$5*$T$6</f>
        <v>0</v>
      </c>
      <c r="U25" s="61">
        <f>TPDA!L24*$U$4*$U$5*$U$6</f>
        <v>0</v>
      </c>
      <c r="V25" s="61">
        <f>TPDA!L24*$U$4*$U$5*$V$6</f>
        <v>0</v>
      </c>
      <c r="W25" s="61">
        <f>TPDA!M24*$W$4*$W$5*$W$6</f>
        <v>0</v>
      </c>
      <c r="X25" s="61">
        <f>TPDA!M24*$W$4*$W$5*$X$6</f>
        <v>0</v>
      </c>
      <c r="Y25" s="61">
        <f>TPDA!N24*$Y$4*$Y$5*$Y$6</f>
        <v>0</v>
      </c>
      <c r="Z25" s="61">
        <f>TPDA!N24*$Y$4*$Y$5*$Z$6</f>
        <v>0</v>
      </c>
      <c r="AA25" s="59">
        <f t="shared" si="2"/>
        <v>0</v>
      </c>
      <c r="AB25" s="55">
        <f t="shared" si="0"/>
        <v>0</v>
      </c>
    </row>
    <row r="26" spans="1:38" x14ac:dyDescent="0.25">
      <c r="A26" s="66">
        <f t="shared" si="1"/>
        <v>2034</v>
      </c>
      <c r="B26" s="136"/>
      <c r="C26" s="61">
        <f>TPDA!C25*'EE1'!$C$4:$D$4*'EE1'!$C$5:$D$5*$C$6</f>
        <v>0</v>
      </c>
      <c r="D26" s="61">
        <f>TPDA!C25*'EE1'!$C$4*'EE1'!$C$5*$D$6</f>
        <v>0</v>
      </c>
      <c r="E26" s="61">
        <f>TPDA!D25*$E$4*$E$5*$E$6</f>
        <v>0</v>
      </c>
      <c r="F26" s="61">
        <f>TPDA!D25*$E$5*$E$5*$F$6</f>
        <v>0</v>
      </c>
      <c r="G26" s="61">
        <f>TPDA!E25*$G$4*$G$5*$G$6</f>
        <v>0</v>
      </c>
      <c r="H26" s="61">
        <f>TPDA!E25*$G$4*$G$5*$H$6</f>
        <v>0</v>
      </c>
      <c r="I26" s="61">
        <f>(POWER((0.2*5.5)/8.17,4.32))*TPDA!F25</f>
        <v>0</v>
      </c>
      <c r="J26" s="61">
        <f>TPDA!F25*$I$4*$I$5*$J$6</f>
        <v>0</v>
      </c>
      <c r="K26" s="61">
        <f>TPDA!G25*$K$4*$K$5*$K$6</f>
        <v>0</v>
      </c>
      <c r="L26" s="61">
        <f>TPDA!G25*$K$4*$K$5*$L$6</f>
        <v>0</v>
      </c>
      <c r="M26" s="61">
        <f>TPDA!H25*$M$4*$M$5*$M$6</f>
        <v>0</v>
      </c>
      <c r="N26" s="61">
        <f>TPDA!H25*$M$4*$M$5*$N$6</f>
        <v>0</v>
      </c>
      <c r="O26" s="61">
        <f>TPDA!I25*$O$4*$O$5*$O$6</f>
        <v>0</v>
      </c>
      <c r="P26" s="61">
        <f>TPDA!I25*$O$4*$O$5*$P$6</f>
        <v>0</v>
      </c>
      <c r="Q26" s="61">
        <f>TPDA!J25*$Q$4*$Q$5*$Q$6</f>
        <v>0</v>
      </c>
      <c r="R26" s="61">
        <f>TPDA!J25*$Q$4*$Q$5*$R$6</f>
        <v>0</v>
      </c>
      <c r="S26" s="61">
        <f>TPDA!K25*$S$4*$S$5*$S$6</f>
        <v>0</v>
      </c>
      <c r="T26" s="61">
        <f>TPDA!K25*$S$4*$S$5*$T$6</f>
        <v>0</v>
      </c>
      <c r="U26" s="61">
        <f>TPDA!L25*$U$4*$U$5*$U$6</f>
        <v>0</v>
      </c>
      <c r="V26" s="61">
        <f>TPDA!L25*$U$4*$U$5*$V$6</f>
        <v>0</v>
      </c>
      <c r="W26" s="61">
        <f>TPDA!M25*$W$4*$W$5*$W$6</f>
        <v>0</v>
      </c>
      <c r="X26" s="61">
        <f>TPDA!M25*$W$4*$W$5*$X$6</f>
        <v>0</v>
      </c>
      <c r="Y26" s="61">
        <f>TPDA!N25*$Y$4*$Y$5*$Y$6</f>
        <v>0</v>
      </c>
      <c r="Z26" s="61">
        <f>TPDA!N25*$Y$4*$Y$5*$Z$6</f>
        <v>0</v>
      </c>
      <c r="AA26" s="59">
        <f t="shared" si="2"/>
        <v>0</v>
      </c>
      <c r="AB26" s="55">
        <f t="shared" si="0"/>
        <v>0</v>
      </c>
    </row>
    <row r="27" spans="1:38" x14ac:dyDescent="0.25">
      <c r="A27" s="66">
        <f t="shared" si="1"/>
        <v>2035</v>
      </c>
      <c r="B27" s="136"/>
      <c r="C27" s="61">
        <f>TPDA!C26*'EE1'!$C$4:$D$4*'EE1'!$C$5:$D$5*$C$6</f>
        <v>0</v>
      </c>
      <c r="D27" s="61">
        <f>TPDA!C26*'EE1'!$C$4*'EE1'!$C$5*$D$6</f>
        <v>0</v>
      </c>
      <c r="E27" s="61">
        <f>TPDA!D26*$E$4*$E$5*$E$6</f>
        <v>0</v>
      </c>
      <c r="F27" s="61">
        <f>TPDA!D26*$E$5*$E$5*$F$6</f>
        <v>0</v>
      </c>
      <c r="G27" s="61">
        <f>TPDA!E26*$G$4*$G$5*$G$6</f>
        <v>0</v>
      </c>
      <c r="H27" s="61">
        <f>TPDA!E26*$G$4*$G$5*$H$6</f>
        <v>0</v>
      </c>
      <c r="I27" s="61">
        <f>(POWER((0.2*5.5)/8.17,4.32))*TPDA!F26</f>
        <v>0</v>
      </c>
      <c r="J27" s="61">
        <f>TPDA!F26*$I$4*$I$5*$J$6</f>
        <v>0</v>
      </c>
      <c r="K27" s="61">
        <f>TPDA!G26*$K$4*$K$5*$K$6</f>
        <v>0</v>
      </c>
      <c r="L27" s="61">
        <f>TPDA!G26*$K$4*$K$5*$L$6</f>
        <v>0</v>
      </c>
      <c r="M27" s="61">
        <f>TPDA!H26*$M$4*$M$5*$M$6</f>
        <v>0</v>
      </c>
      <c r="N27" s="61">
        <f>TPDA!H26*$M$4*$M$5*$N$6</f>
        <v>0</v>
      </c>
      <c r="O27" s="61">
        <f>TPDA!I26*$O$4*$O$5*$O$6</f>
        <v>0</v>
      </c>
      <c r="P27" s="61">
        <f>TPDA!I26*$O$4*$O$5*$P$6</f>
        <v>0</v>
      </c>
      <c r="Q27" s="61">
        <f>TPDA!J26*$Q$4*$Q$5*$Q$6</f>
        <v>0</v>
      </c>
      <c r="R27" s="61">
        <f>TPDA!J26*$Q$4*$Q$5*$R$6</f>
        <v>0</v>
      </c>
      <c r="S27" s="61">
        <f>TPDA!K26*$S$4*$S$5*$S$6</f>
        <v>0</v>
      </c>
      <c r="T27" s="61">
        <f>TPDA!K26*$S$4*$S$5*$T$6</f>
        <v>0</v>
      </c>
      <c r="U27" s="61">
        <f>TPDA!L26*$U$4*$U$5*$U$6</f>
        <v>0</v>
      </c>
      <c r="V27" s="61">
        <f>TPDA!L26*$U$4*$U$5*$V$6</f>
        <v>0</v>
      </c>
      <c r="W27" s="61">
        <f>TPDA!M26*$W$4*$W$5*$W$6</f>
        <v>0</v>
      </c>
      <c r="X27" s="61">
        <f>TPDA!M26*$W$4*$W$5*$X$6</f>
        <v>0</v>
      </c>
      <c r="Y27" s="61">
        <f>TPDA!N26*$Y$4*$Y$5*$Y$6</f>
        <v>0</v>
      </c>
      <c r="Z27" s="61">
        <f>TPDA!N26*$Y$4*$Y$5*$Z$6</f>
        <v>0</v>
      </c>
      <c r="AA27" s="59">
        <f t="shared" si="2"/>
        <v>0</v>
      </c>
      <c r="AB27" s="55">
        <f t="shared" si="0"/>
        <v>0</v>
      </c>
    </row>
    <row r="28" spans="1:38" x14ac:dyDescent="0.25">
      <c r="A28" s="66">
        <f t="shared" si="1"/>
        <v>2036</v>
      </c>
      <c r="B28" s="136"/>
      <c r="C28" s="61">
        <f>TPDA!C27*'EE1'!$C$4:$D$4*'EE1'!$C$5:$D$5*$C$6</f>
        <v>0</v>
      </c>
      <c r="D28" s="61">
        <f>TPDA!C27*'EE1'!$C$4*'EE1'!$C$5*$D$6</f>
        <v>0</v>
      </c>
      <c r="E28" s="61">
        <f>TPDA!D27*$E$4*$E$5*$E$6</f>
        <v>0</v>
      </c>
      <c r="F28" s="61">
        <f>TPDA!D27*$E$5*$E$5*$F$6</f>
        <v>0</v>
      </c>
      <c r="G28" s="61">
        <f>TPDA!E27*$G$4*$G$5*$G$6</f>
        <v>0</v>
      </c>
      <c r="H28" s="61">
        <f>TPDA!E27*$G$4*$G$5*$H$6</f>
        <v>0</v>
      </c>
      <c r="I28" s="61">
        <f>(POWER((0.2*5.5)/8.17,4.32))*TPDA!F27</f>
        <v>0</v>
      </c>
      <c r="J28" s="61">
        <f>TPDA!F27*$I$4*$I$5*$J$6</f>
        <v>0</v>
      </c>
      <c r="K28" s="61">
        <f>TPDA!G27*$K$4*$K$5*$K$6</f>
        <v>0</v>
      </c>
      <c r="L28" s="61">
        <f>TPDA!G27*$K$4*$K$5*$L$6</f>
        <v>0</v>
      </c>
      <c r="M28" s="61">
        <f>TPDA!H27*$M$4*$M$5*$M$6</f>
        <v>0</v>
      </c>
      <c r="N28" s="61">
        <f>TPDA!H27*$M$4*$M$5*$N$6</f>
        <v>0</v>
      </c>
      <c r="O28" s="61">
        <f>TPDA!I27*$O$4*$O$5*$O$6</f>
        <v>0</v>
      </c>
      <c r="P28" s="61">
        <f>TPDA!I27*$O$4*$O$5*$P$6</f>
        <v>0</v>
      </c>
      <c r="Q28" s="61">
        <f>TPDA!J27*$Q$4*$Q$5*$Q$6</f>
        <v>0</v>
      </c>
      <c r="R28" s="61">
        <f>TPDA!J27*$Q$4*$Q$5*$R$6</f>
        <v>0</v>
      </c>
      <c r="S28" s="61">
        <f>TPDA!K27*$S$4*$S$5*$S$6</f>
        <v>0</v>
      </c>
      <c r="T28" s="61">
        <f>TPDA!K27*$S$4*$S$5*$T$6</f>
        <v>0</v>
      </c>
      <c r="U28" s="61">
        <f>TPDA!L27*$U$4*$U$5*$U$6</f>
        <v>0</v>
      </c>
      <c r="V28" s="61">
        <f>TPDA!L27*$U$4*$U$5*$V$6</f>
        <v>0</v>
      </c>
      <c r="W28" s="61">
        <f>TPDA!M27*$W$4*$W$5*$W$6</f>
        <v>0</v>
      </c>
      <c r="X28" s="61">
        <f>TPDA!M27*$W$4*$W$5*$X$6</f>
        <v>0</v>
      </c>
      <c r="Y28" s="61">
        <f>TPDA!N27*$Y$4*$Y$5*$Y$6</f>
        <v>0</v>
      </c>
      <c r="Z28" s="61">
        <f>TPDA!N27*$Y$4*$Y$5*$Z$6</f>
        <v>0</v>
      </c>
      <c r="AA28" s="59">
        <f t="shared" si="2"/>
        <v>0</v>
      </c>
      <c r="AB28" s="55">
        <f t="shared" si="0"/>
        <v>0</v>
      </c>
    </row>
    <row r="29" spans="1:38" x14ac:dyDescent="0.25">
      <c r="A29" s="66">
        <f t="shared" si="1"/>
        <v>2037</v>
      </c>
      <c r="B29" s="136"/>
      <c r="C29" s="61">
        <f>TPDA!C28*'EE1'!$C$4:$D$4*'EE1'!$C$5:$D$5*$C$6</f>
        <v>0</v>
      </c>
      <c r="D29" s="61">
        <f>TPDA!C28*'EE1'!$C$4*'EE1'!$C$5*$D$6</f>
        <v>0</v>
      </c>
      <c r="E29" s="61">
        <f>TPDA!D28*$E$4*$E$5*$E$6</f>
        <v>0</v>
      </c>
      <c r="F29" s="61">
        <f>TPDA!D28*$E$5*$E$5*$F$6</f>
        <v>0</v>
      </c>
      <c r="G29" s="61">
        <f>TPDA!E28*$G$4*$G$5*$G$6</f>
        <v>0</v>
      </c>
      <c r="H29" s="61">
        <f>TPDA!E28*$G$4*$G$5*$H$6</f>
        <v>0</v>
      </c>
      <c r="I29" s="61">
        <f>(POWER((0.2*5.5)/8.17,4.32))*TPDA!F28</f>
        <v>0</v>
      </c>
      <c r="J29" s="61">
        <f>TPDA!F28*$I$4*$I$5*$J$6</f>
        <v>0</v>
      </c>
      <c r="K29" s="61">
        <f>TPDA!G28*$K$4*$K$5*$K$6</f>
        <v>0</v>
      </c>
      <c r="L29" s="61">
        <f>TPDA!G28*$K$4*$K$5*$L$6</f>
        <v>0</v>
      </c>
      <c r="M29" s="61">
        <f>TPDA!H28*$M$4*$M$5*$M$6</f>
        <v>0</v>
      </c>
      <c r="N29" s="61">
        <f>TPDA!H28*$M$4*$M$5*$N$6</f>
        <v>0</v>
      </c>
      <c r="O29" s="61">
        <f>TPDA!I28*$O$4*$O$5*$O$6</f>
        <v>0</v>
      </c>
      <c r="P29" s="61">
        <f>TPDA!I28*$O$4*$O$5*$P$6</f>
        <v>0</v>
      </c>
      <c r="Q29" s="61">
        <f>TPDA!J28*$Q$4*$Q$5*$Q$6</f>
        <v>0</v>
      </c>
      <c r="R29" s="61">
        <f>TPDA!J28*$Q$4*$Q$5*$R$6</f>
        <v>0</v>
      </c>
      <c r="S29" s="61">
        <f>TPDA!K28*$S$4*$S$5*$S$6</f>
        <v>0</v>
      </c>
      <c r="T29" s="61">
        <f>TPDA!K28*$S$4*$S$5*$T$6</f>
        <v>0</v>
      </c>
      <c r="U29" s="61">
        <f>TPDA!L28*$U$4*$U$5*$U$6</f>
        <v>0</v>
      </c>
      <c r="V29" s="61">
        <f>TPDA!L28*$U$4*$U$5*$V$6</f>
        <v>0</v>
      </c>
      <c r="W29" s="61">
        <f>TPDA!M28*$W$4*$W$5*$W$6</f>
        <v>0</v>
      </c>
      <c r="X29" s="61">
        <f>TPDA!M28*$W$4*$W$5*$X$6</f>
        <v>0</v>
      </c>
      <c r="Y29" s="61">
        <f>TPDA!N28*$Y$4*$Y$5*$Y$6</f>
        <v>0</v>
      </c>
      <c r="Z29" s="61">
        <f>TPDA!N28*$Y$4*$Y$5*$Z$6</f>
        <v>0</v>
      </c>
      <c r="AA29" s="59">
        <f t="shared" si="2"/>
        <v>0</v>
      </c>
      <c r="AB29" s="55">
        <f t="shared" si="0"/>
        <v>0</v>
      </c>
    </row>
    <row r="30" spans="1:38" x14ac:dyDescent="0.25">
      <c r="A30" s="66">
        <f t="shared" si="1"/>
        <v>2038</v>
      </c>
      <c r="B30" s="136"/>
      <c r="C30" s="61">
        <f>TPDA!C29*'EE1'!$C$4:$D$4*'EE1'!$C$5:$D$5*$C$6</f>
        <v>0</v>
      </c>
      <c r="D30" s="61">
        <f>TPDA!C29*'EE1'!$C$4*'EE1'!$C$5*$D$6</f>
        <v>0</v>
      </c>
      <c r="E30" s="61">
        <f>TPDA!D29*$E$4*$E$5*$E$6</f>
        <v>0</v>
      </c>
      <c r="F30" s="61">
        <f>TPDA!D29*$E$5*$E$5*$F$6</f>
        <v>0</v>
      </c>
      <c r="G30" s="61">
        <f>TPDA!E29*$G$4*$G$5*$G$6</f>
        <v>0</v>
      </c>
      <c r="H30" s="61">
        <f>TPDA!E29*$G$4*$G$5*$H$6</f>
        <v>0</v>
      </c>
      <c r="I30" s="61">
        <f>(POWER((0.2*5.5)/8.17,4.32))*TPDA!F29</f>
        <v>0</v>
      </c>
      <c r="J30" s="61">
        <f>TPDA!F29*$I$4*$I$5*$J$6</f>
        <v>0</v>
      </c>
      <c r="K30" s="61">
        <f>TPDA!G29*$K$4*$K$5*$K$6</f>
        <v>0</v>
      </c>
      <c r="L30" s="61">
        <f>TPDA!G29*$K$4*$K$5*$L$6</f>
        <v>0</v>
      </c>
      <c r="M30" s="61">
        <f>TPDA!H29*$M$4*$M$5*$M$6</f>
        <v>0</v>
      </c>
      <c r="N30" s="61">
        <f>TPDA!H29*$M$4*$M$5*$N$6</f>
        <v>0</v>
      </c>
      <c r="O30" s="61">
        <f>TPDA!I29*$O$4*$O$5*$O$6</f>
        <v>0</v>
      </c>
      <c r="P30" s="61">
        <f>TPDA!I29*$O$4*$O$5*$P$6</f>
        <v>0</v>
      </c>
      <c r="Q30" s="61">
        <f>TPDA!J29*$Q$4*$Q$5*$Q$6</f>
        <v>0</v>
      </c>
      <c r="R30" s="61">
        <f>TPDA!J29*$Q$4*$Q$5*$R$6</f>
        <v>0</v>
      </c>
      <c r="S30" s="61">
        <f>TPDA!K29*$S$4*$S$5*$S$6</f>
        <v>0</v>
      </c>
      <c r="T30" s="61">
        <f>TPDA!K29*$S$4*$S$5*$T$6</f>
        <v>0</v>
      </c>
      <c r="U30" s="61">
        <f>TPDA!L29*$U$4*$U$5*$U$6</f>
        <v>0</v>
      </c>
      <c r="V30" s="61">
        <f>TPDA!L29*$U$4*$U$5*$V$6</f>
        <v>0</v>
      </c>
      <c r="W30" s="61">
        <f>TPDA!M29*$W$4*$W$5*$W$6</f>
        <v>0</v>
      </c>
      <c r="X30" s="61">
        <f>TPDA!M29*$W$4*$W$5*$X$6</f>
        <v>0</v>
      </c>
      <c r="Y30" s="61">
        <f>TPDA!N29*$Y$4*$Y$5*$Y$6</f>
        <v>0</v>
      </c>
      <c r="Z30" s="61">
        <f>TPDA!N29*$Y$4*$Y$5*$Z$6</f>
        <v>0</v>
      </c>
      <c r="AA30" s="59">
        <f t="shared" si="2"/>
        <v>0</v>
      </c>
      <c r="AB30" s="55">
        <f t="shared" si="0"/>
        <v>0</v>
      </c>
    </row>
    <row r="31" spans="1:38" x14ac:dyDescent="0.25">
      <c r="A31" s="66">
        <f t="shared" si="1"/>
        <v>2039</v>
      </c>
      <c r="B31" s="136"/>
      <c r="C31" s="61">
        <f>TPDA!C30*'EE1'!$C$4:$D$4*'EE1'!$C$5:$D$5*$C$6</f>
        <v>0</v>
      </c>
      <c r="D31" s="61">
        <f>TPDA!C30*'EE1'!$C$4*'EE1'!$C$5*$D$6</f>
        <v>0</v>
      </c>
      <c r="E31" s="61">
        <f>TPDA!D30*$E$4*$E$5*$E$6</f>
        <v>0</v>
      </c>
      <c r="F31" s="61">
        <f>TPDA!D30*$E$5*$E$5*$F$6</f>
        <v>0</v>
      </c>
      <c r="G31" s="61">
        <f>TPDA!E30*$G$4*$G$5*$G$6</f>
        <v>0</v>
      </c>
      <c r="H31" s="61">
        <f>TPDA!E30*$G$4*$G$5*$H$6</f>
        <v>0</v>
      </c>
      <c r="I31" s="61">
        <f>(POWER((0.2*5.5)/8.17,4.32))*TPDA!F30</f>
        <v>0</v>
      </c>
      <c r="J31" s="61">
        <f>TPDA!F30*$I$4*$I$5*$J$6</f>
        <v>0</v>
      </c>
      <c r="K31" s="61">
        <f>TPDA!G30*$K$4*$K$5*$K$6</f>
        <v>0</v>
      </c>
      <c r="L31" s="61">
        <f>TPDA!G30*$K$4*$K$5*$L$6</f>
        <v>0</v>
      </c>
      <c r="M31" s="61">
        <f>TPDA!H30*$M$4*$M$5*$M$6</f>
        <v>0</v>
      </c>
      <c r="N31" s="61">
        <f>TPDA!H30*$M$4*$M$5*$N$6</f>
        <v>0</v>
      </c>
      <c r="O31" s="61">
        <f>TPDA!I30*$O$4*$O$5*$O$6</f>
        <v>0</v>
      </c>
      <c r="P31" s="61">
        <f>TPDA!I30*$O$4*$O$5*$P$6</f>
        <v>0</v>
      </c>
      <c r="Q31" s="61">
        <f>TPDA!J30*$Q$4*$Q$5*$Q$6</f>
        <v>0</v>
      </c>
      <c r="R31" s="61">
        <f>TPDA!J30*$Q$4*$Q$5*$R$6</f>
        <v>0</v>
      </c>
      <c r="S31" s="61">
        <f>TPDA!K30*$S$4*$S$5*$S$6</f>
        <v>0</v>
      </c>
      <c r="T31" s="61">
        <f>TPDA!K30*$S$4*$S$5*$T$6</f>
        <v>0</v>
      </c>
      <c r="U31" s="61">
        <f>TPDA!L30*$U$4*$U$5*$U$6</f>
        <v>0</v>
      </c>
      <c r="V31" s="61">
        <f>TPDA!L30*$U$4*$U$5*$V$6</f>
        <v>0</v>
      </c>
      <c r="W31" s="61">
        <f>TPDA!M30*$W$4*$W$5*$W$6</f>
        <v>0</v>
      </c>
      <c r="X31" s="61">
        <f>TPDA!M30*$W$4*$W$5*$X$6</f>
        <v>0</v>
      </c>
      <c r="Y31" s="61">
        <f>TPDA!N30*$Y$4*$Y$5*$Y$6</f>
        <v>0</v>
      </c>
      <c r="Z31" s="61">
        <f>TPDA!N30*$Y$4*$Y$5*$Z$6</f>
        <v>0</v>
      </c>
      <c r="AA31" s="59">
        <f t="shared" si="2"/>
        <v>0</v>
      </c>
      <c r="AB31" s="55">
        <f t="shared" si="0"/>
        <v>0</v>
      </c>
    </row>
    <row r="32" spans="1:38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spans="1:27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spans="1:27" x14ac:dyDescent="0.25">
      <c r="A34" s="63" t="s">
        <v>21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spans="1:27" x14ac:dyDescent="0.25">
      <c r="A35" s="64" t="s">
        <v>22</v>
      </c>
      <c r="B35" s="65"/>
      <c r="C35" s="65"/>
      <c r="D35" s="65"/>
      <c r="E35" s="65"/>
      <c r="F35" s="65"/>
      <c r="G35" s="64" t="s">
        <v>23</v>
      </c>
      <c r="H35" s="64"/>
      <c r="I35" s="65"/>
      <c r="J35" s="65"/>
      <c r="K35" s="65"/>
      <c r="L35" s="65"/>
      <c r="M35" s="65"/>
      <c r="N35" s="65"/>
      <c r="O35" s="65"/>
      <c r="P35" s="65"/>
      <c r="Q35" s="64" t="s">
        <v>89</v>
      </c>
      <c r="R35" s="64"/>
      <c r="S35" s="65"/>
      <c r="T35" s="65"/>
      <c r="U35" s="65"/>
      <c r="V35" s="65"/>
      <c r="W35" s="65"/>
      <c r="X35" s="65"/>
      <c r="Y35" s="65"/>
      <c r="Z35" s="65"/>
      <c r="AA35" s="62"/>
    </row>
    <row r="36" spans="1:27" x14ac:dyDescent="0.25">
      <c r="A36" s="64" t="s">
        <v>25</v>
      </c>
      <c r="B36" s="65"/>
      <c r="C36" s="65"/>
      <c r="D36" s="65"/>
      <c r="E36" s="65"/>
      <c r="F36" s="65"/>
      <c r="G36" s="64" t="s">
        <v>26</v>
      </c>
      <c r="H36" s="64"/>
      <c r="I36" s="65"/>
      <c r="J36" s="65"/>
      <c r="K36" s="65"/>
      <c r="L36" s="65"/>
      <c r="M36" s="65"/>
      <c r="N36" s="65"/>
      <c r="O36" s="65"/>
      <c r="P36" s="65"/>
      <c r="Q36" s="64" t="s">
        <v>27</v>
      </c>
      <c r="R36" s="64"/>
      <c r="S36" s="65"/>
      <c r="T36" s="65"/>
      <c r="U36" s="65"/>
      <c r="V36" s="65"/>
      <c r="W36" s="65"/>
      <c r="X36" s="65"/>
      <c r="Y36" s="65"/>
      <c r="Z36" s="65"/>
      <c r="AA36" s="62"/>
    </row>
    <row r="37" spans="1:27" x14ac:dyDescent="0.25">
      <c r="A37" s="64" t="s">
        <v>28</v>
      </c>
      <c r="B37" s="65"/>
      <c r="C37" s="65"/>
      <c r="D37" s="65"/>
      <c r="E37" s="65"/>
      <c r="F37" s="65"/>
      <c r="G37" s="64" t="s">
        <v>29</v>
      </c>
      <c r="H37" s="64"/>
      <c r="I37" s="65"/>
      <c r="J37" s="65"/>
      <c r="K37" s="65"/>
      <c r="L37" s="65"/>
      <c r="M37" s="65"/>
      <c r="N37" s="65"/>
      <c r="O37" s="65"/>
      <c r="P37" s="65"/>
      <c r="Q37" s="64" t="s">
        <v>88</v>
      </c>
      <c r="R37" s="64"/>
      <c r="S37" s="65"/>
      <c r="T37" s="65"/>
      <c r="U37" s="65"/>
      <c r="V37" s="65"/>
      <c r="W37" s="65"/>
      <c r="X37" s="65"/>
      <c r="Y37" s="65"/>
      <c r="Z37" s="65"/>
      <c r="AA37" s="62"/>
    </row>
    <row r="38" spans="1:27" x14ac:dyDescent="0.25">
      <c r="A38" s="64" t="s">
        <v>31</v>
      </c>
      <c r="B38" s="65"/>
      <c r="C38" s="65"/>
      <c r="D38" s="65"/>
      <c r="E38" s="65"/>
      <c r="F38" s="65"/>
      <c r="G38" s="64" t="s">
        <v>32</v>
      </c>
      <c r="H38" s="64"/>
      <c r="I38" s="65"/>
      <c r="J38" s="65"/>
      <c r="K38" s="65"/>
      <c r="L38" s="65"/>
      <c r="M38" s="65"/>
      <c r="N38" s="65"/>
      <c r="O38" s="65"/>
      <c r="P38" s="65"/>
      <c r="Q38" s="64" t="s">
        <v>33</v>
      </c>
      <c r="R38" s="64"/>
      <c r="S38" s="65"/>
      <c r="T38" s="65"/>
      <c r="U38" s="65"/>
      <c r="V38" s="65"/>
      <c r="W38" s="65"/>
      <c r="X38" s="65"/>
      <c r="Y38" s="65"/>
      <c r="Z38" s="65"/>
      <c r="AA38" s="62"/>
    </row>
  </sheetData>
  <mergeCells count="53">
    <mergeCell ref="C1:Y1"/>
    <mergeCell ref="AA1:AA5"/>
    <mergeCell ref="A2:A5"/>
    <mergeCell ref="B10:B12"/>
    <mergeCell ref="B13:B31"/>
    <mergeCell ref="C2:D2"/>
    <mergeCell ref="C3:D3"/>
    <mergeCell ref="C4:D4"/>
    <mergeCell ref="C5:D5"/>
    <mergeCell ref="E2:F2"/>
    <mergeCell ref="E3:F3"/>
    <mergeCell ref="E4:F4"/>
    <mergeCell ref="E5:F5"/>
    <mergeCell ref="G2:H2"/>
    <mergeCell ref="G3:H3"/>
    <mergeCell ref="G4:H4"/>
    <mergeCell ref="G5:H5"/>
    <mergeCell ref="I2:J2"/>
    <mergeCell ref="I3:J3"/>
    <mergeCell ref="I4:J4"/>
    <mergeCell ref="I5:J5"/>
    <mergeCell ref="K2:L2"/>
    <mergeCell ref="K3:L3"/>
    <mergeCell ref="K4:L4"/>
    <mergeCell ref="K5:L5"/>
    <mergeCell ref="M2:N2"/>
    <mergeCell ref="M3:N3"/>
    <mergeCell ref="M4:N4"/>
    <mergeCell ref="M5:N5"/>
    <mergeCell ref="O2:P2"/>
    <mergeCell ref="O3:P3"/>
    <mergeCell ref="O4:P4"/>
    <mergeCell ref="O5:P5"/>
    <mergeCell ref="Q2:R2"/>
    <mergeCell ref="Q3:R3"/>
    <mergeCell ref="Q4:R4"/>
    <mergeCell ref="Q5:R5"/>
    <mergeCell ref="S2:T2"/>
    <mergeCell ref="S3:T3"/>
    <mergeCell ref="S4:T4"/>
    <mergeCell ref="S5:T5"/>
    <mergeCell ref="U2:V2"/>
    <mergeCell ref="U3:V3"/>
    <mergeCell ref="U4:V4"/>
    <mergeCell ref="U5:V5"/>
    <mergeCell ref="W2:X2"/>
    <mergeCell ref="W3:X3"/>
    <mergeCell ref="W4:X4"/>
    <mergeCell ref="W5:X5"/>
    <mergeCell ref="Y2:Z2"/>
    <mergeCell ref="Y3:Z3"/>
    <mergeCell ref="Y4:Z4"/>
    <mergeCell ref="Y5:Z5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3DB9-F7A9-45EF-8143-EFC0E1E6C0DF}">
  <dimension ref="A1:O6"/>
  <sheetViews>
    <sheetView workbookViewId="0">
      <selection activeCell="A20" sqref="A20"/>
    </sheetView>
  </sheetViews>
  <sheetFormatPr baseColWidth="10" defaultRowHeight="15" x14ac:dyDescent="0.25"/>
  <sheetData>
    <row r="1" spans="1:15" ht="39.75" thickTop="1" thickBot="1" x14ac:dyDescent="0.3">
      <c r="A1" s="137" t="s">
        <v>113</v>
      </c>
      <c r="B1" s="138" t="s">
        <v>35</v>
      </c>
      <c r="C1" s="138" t="s">
        <v>36</v>
      </c>
      <c r="D1" s="138" t="s">
        <v>37</v>
      </c>
      <c r="E1" s="138" t="s">
        <v>114</v>
      </c>
      <c r="F1" s="138" t="s">
        <v>115</v>
      </c>
      <c r="G1" s="138" t="s">
        <v>116</v>
      </c>
      <c r="H1" s="138" t="s">
        <v>117</v>
      </c>
      <c r="I1" s="138" t="s">
        <v>118</v>
      </c>
      <c r="J1" s="138" t="s">
        <v>119</v>
      </c>
      <c r="K1" s="138" t="s">
        <v>44</v>
      </c>
      <c r="L1" s="138" t="s">
        <v>45</v>
      </c>
      <c r="M1" s="138" t="s">
        <v>46</v>
      </c>
      <c r="N1" s="138" t="s">
        <v>47</v>
      </c>
      <c r="O1" s="15" t="s">
        <v>48</v>
      </c>
    </row>
    <row r="2" spans="1:15" ht="15.75" thickTop="1" x14ac:dyDescent="0.25">
      <c r="A2" s="139" t="s">
        <v>120</v>
      </c>
      <c r="B2" s="140">
        <v>14</v>
      </c>
      <c r="C2" s="140">
        <v>3</v>
      </c>
      <c r="D2" s="140">
        <v>16</v>
      </c>
      <c r="E2" s="140">
        <v>0</v>
      </c>
      <c r="F2" s="140">
        <v>2</v>
      </c>
      <c r="G2" s="140">
        <v>12</v>
      </c>
      <c r="H2" s="140">
        <v>3</v>
      </c>
      <c r="I2" s="140">
        <v>6</v>
      </c>
      <c r="J2" s="140">
        <v>4</v>
      </c>
      <c r="K2" s="140">
        <v>10</v>
      </c>
      <c r="L2" s="140">
        <v>8</v>
      </c>
      <c r="M2" s="140">
        <v>3</v>
      </c>
      <c r="N2" s="140">
        <v>0</v>
      </c>
      <c r="O2" s="141"/>
    </row>
    <row r="3" spans="1:15" x14ac:dyDescent="0.25">
      <c r="A3" s="142" t="s">
        <v>121</v>
      </c>
      <c r="B3" s="143">
        <v>21</v>
      </c>
      <c r="C3" s="143">
        <v>8</v>
      </c>
      <c r="D3" s="143">
        <v>13</v>
      </c>
      <c r="E3" s="143">
        <v>0</v>
      </c>
      <c r="F3" s="143">
        <v>1</v>
      </c>
      <c r="G3" s="143">
        <v>16</v>
      </c>
      <c r="H3" s="143">
        <v>1</v>
      </c>
      <c r="I3" s="143">
        <v>6</v>
      </c>
      <c r="J3" s="143">
        <v>5</v>
      </c>
      <c r="K3" s="143">
        <v>12</v>
      </c>
      <c r="L3" s="143">
        <v>8</v>
      </c>
      <c r="M3" s="143">
        <v>0</v>
      </c>
      <c r="N3" s="143">
        <v>0</v>
      </c>
      <c r="O3" s="141"/>
    </row>
    <row r="4" spans="1:15" x14ac:dyDescent="0.25">
      <c r="A4" s="142" t="s">
        <v>122</v>
      </c>
      <c r="B4" s="143">
        <v>18</v>
      </c>
      <c r="C4" s="143">
        <v>5</v>
      </c>
      <c r="D4" s="143">
        <v>11</v>
      </c>
      <c r="E4" s="143">
        <v>0</v>
      </c>
      <c r="F4" s="143">
        <v>2</v>
      </c>
      <c r="G4" s="143">
        <v>7</v>
      </c>
      <c r="H4" s="143">
        <v>2</v>
      </c>
      <c r="I4" s="143">
        <v>5</v>
      </c>
      <c r="J4" s="143">
        <v>4</v>
      </c>
      <c r="K4" s="143">
        <v>8</v>
      </c>
      <c r="L4" s="143">
        <v>3</v>
      </c>
      <c r="M4" s="143">
        <v>1</v>
      </c>
      <c r="N4" s="143">
        <v>0</v>
      </c>
      <c r="O4" s="141"/>
    </row>
    <row r="5" spans="1:15" x14ac:dyDescent="0.25">
      <c r="A5" s="142" t="s">
        <v>123</v>
      </c>
      <c r="B5" s="143">
        <v>14</v>
      </c>
      <c r="C5" s="143">
        <v>3</v>
      </c>
      <c r="D5" s="143">
        <v>7</v>
      </c>
      <c r="E5" s="143">
        <v>0</v>
      </c>
      <c r="F5" s="143">
        <v>2</v>
      </c>
      <c r="G5" s="143">
        <v>5</v>
      </c>
      <c r="H5" s="143">
        <v>1</v>
      </c>
      <c r="I5" s="143">
        <v>2</v>
      </c>
      <c r="J5" s="143">
        <v>4</v>
      </c>
      <c r="K5" s="143">
        <v>7</v>
      </c>
      <c r="L5" s="143">
        <v>3</v>
      </c>
      <c r="M5" s="143">
        <v>1</v>
      </c>
      <c r="N5" s="143">
        <v>0</v>
      </c>
      <c r="O5" s="141"/>
    </row>
    <row r="6" spans="1:15" x14ac:dyDescent="0.25">
      <c r="A6" s="144" t="s">
        <v>48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6"/>
      <c r="O6" s="141"/>
    </row>
  </sheetData>
  <mergeCells count="1">
    <mergeCell ref="A6:N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EC3D-E563-49B5-A89E-B3635946A417}">
  <dimension ref="A1:F6"/>
  <sheetViews>
    <sheetView tabSelected="1" workbookViewId="0">
      <selection activeCell="J6" sqref="J6"/>
    </sheetView>
  </sheetViews>
  <sheetFormatPr baseColWidth="10" defaultRowHeight="15" x14ac:dyDescent="0.25"/>
  <cols>
    <col min="6" max="6" width="13.85546875" customWidth="1"/>
  </cols>
  <sheetData>
    <row r="1" spans="1:6" ht="36" x14ac:dyDescent="0.25">
      <c r="A1" s="147" t="s">
        <v>124</v>
      </c>
      <c r="B1" s="148" t="s">
        <v>125</v>
      </c>
      <c r="C1" s="148" t="s">
        <v>126</v>
      </c>
      <c r="D1" s="148" t="s">
        <v>127</v>
      </c>
      <c r="E1" s="148" t="s">
        <v>128</v>
      </c>
      <c r="F1" s="149" t="s">
        <v>129</v>
      </c>
    </row>
    <row r="2" spans="1:6" ht="15.75" thickBot="1" x14ac:dyDescent="0.3">
      <c r="A2" s="150">
        <v>1</v>
      </c>
      <c r="B2" s="151">
        <v>73</v>
      </c>
      <c r="C2" s="152">
        <v>76</v>
      </c>
      <c r="D2" s="152">
        <v>56</v>
      </c>
      <c r="E2" s="152">
        <v>51</v>
      </c>
      <c r="F2" s="152">
        <v>31</v>
      </c>
    </row>
    <row r="3" spans="1:6" ht="15.75" thickBot="1" x14ac:dyDescent="0.3">
      <c r="A3" s="150">
        <v>2</v>
      </c>
      <c r="B3" s="153">
        <v>59</v>
      </c>
      <c r="C3" s="154">
        <v>58</v>
      </c>
      <c r="D3" s="154">
        <v>43</v>
      </c>
      <c r="E3" s="154">
        <v>42</v>
      </c>
      <c r="F3" s="154">
        <v>23</v>
      </c>
    </row>
    <row r="4" spans="1:6" ht="15.75" thickBot="1" x14ac:dyDescent="0.3">
      <c r="A4" s="150">
        <v>3</v>
      </c>
      <c r="B4" s="153">
        <v>55</v>
      </c>
      <c r="C4" s="154">
        <v>56</v>
      </c>
      <c r="D4" s="154">
        <v>36</v>
      </c>
      <c r="E4" s="154">
        <v>44</v>
      </c>
      <c r="F4" s="154">
        <v>28</v>
      </c>
    </row>
    <row r="5" spans="1:6" ht="15.75" thickBot="1" x14ac:dyDescent="0.3">
      <c r="A5" s="150">
        <v>4</v>
      </c>
      <c r="B5" s="155">
        <v>78</v>
      </c>
      <c r="C5" s="156">
        <v>82</v>
      </c>
      <c r="D5" s="156">
        <v>62</v>
      </c>
      <c r="E5" s="156">
        <v>57</v>
      </c>
      <c r="F5" s="156">
        <v>42</v>
      </c>
    </row>
    <row r="6" spans="1:6" ht="15.75" thickBot="1" x14ac:dyDescent="0.3">
      <c r="A6" s="157">
        <v>5</v>
      </c>
      <c r="B6" s="155">
        <v>86</v>
      </c>
      <c r="C6" s="156">
        <v>83</v>
      </c>
      <c r="D6" s="156">
        <v>62</v>
      </c>
      <c r="E6" s="156">
        <v>63</v>
      </c>
      <c r="F6" s="156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CONSOLIDADO</vt:lpstr>
      <vt:lpstr>FACTOR ESTACIONA</vt:lpstr>
      <vt:lpstr>vpth</vt:lpstr>
      <vt:lpstr>PROYECCION</vt:lpstr>
      <vt:lpstr>TPDA (2)</vt:lpstr>
      <vt:lpstr>EE</vt:lpstr>
      <vt:lpstr>TPDA</vt:lpstr>
      <vt:lpstr>EE1</vt:lpstr>
      <vt:lpstr>FHP</vt:lpstr>
      <vt:lpstr>V RECORR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FRUTOS FRUTOS JORDAN</dc:creator>
  <cp:lastModifiedBy>PFJ</cp:lastModifiedBy>
  <dcterms:created xsi:type="dcterms:W3CDTF">2016-03-17T18:50:49Z</dcterms:created>
  <dcterms:modified xsi:type="dcterms:W3CDTF">2026-04-23T00:13:19Z</dcterms:modified>
</cp:coreProperties>
</file>