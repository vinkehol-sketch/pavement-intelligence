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FICO\"/>
    </mc:Choice>
  </mc:AlternateContent>
  <xr:revisionPtr revIDLastSave="0" documentId="13_ncr:1_{CBC1D023-184F-4AEF-A3F8-7A0FC4A3D32B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factor estacionalidad" sheetId="5" r:id="rId1"/>
    <sheet name="Factor nocturnidad" sheetId="7" r:id="rId2"/>
    <sheet name="centralizado" sheetId="3" r:id="rId3"/>
    <sheet name="tasa de crecimiento" sheetId="4" r:id="rId4"/>
    <sheet name="factor hora pico" sheetId="1" r:id="rId5"/>
    <sheet name="velocidad recorrido (2)" sheetId="8" r:id="rId6"/>
    <sheet name="EE" sheetId="6" r:id="rId7"/>
    <sheet name="velocidad recorrido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8" l="1"/>
  <c r="D7" i="8"/>
  <c r="E7" i="8"/>
  <c r="F7" i="8"/>
  <c r="G7" i="8"/>
  <c r="H7" i="8"/>
  <c r="I7" i="8"/>
  <c r="J7" i="8"/>
  <c r="K7" i="8"/>
  <c r="L7" i="8"/>
  <c r="M7" i="8"/>
  <c r="B7" i="8"/>
  <c r="O5" i="1"/>
  <c r="O4" i="1"/>
  <c r="O3" i="1"/>
  <c r="O2" i="1"/>
  <c r="O6" i="1" s="1"/>
  <c r="I11" i="1" s="1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C26" i="3"/>
  <c r="C33" i="3" s="1"/>
  <c r="C34" i="3" s="1"/>
  <c r="D26" i="3"/>
  <c r="D33" i="3" s="1"/>
  <c r="D34" i="3" s="1"/>
  <c r="E26" i="3"/>
  <c r="E33" i="3" s="1"/>
  <c r="E34" i="3" s="1"/>
  <c r="F26" i="3"/>
  <c r="F33" i="3" s="1"/>
  <c r="F34" i="3" s="1"/>
  <c r="G26" i="3"/>
  <c r="G33" i="3" s="1"/>
  <c r="G34" i="3" s="1"/>
  <c r="H26" i="3"/>
  <c r="H33" i="3" s="1"/>
  <c r="H34" i="3" s="1"/>
  <c r="I26" i="3"/>
  <c r="I33" i="3" s="1"/>
  <c r="I34" i="3" s="1"/>
  <c r="J26" i="3"/>
  <c r="J33" i="3" s="1"/>
  <c r="J34" i="3" s="1"/>
  <c r="K26" i="3"/>
  <c r="K33" i="3" s="1"/>
  <c r="K34" i="3" s="1"/>
  <c r="L26" i="3"/>
  <c r="L33" i="3" s="1"/>
  <c r="L34" i="3" s="1"/>
  <c r="M26" i="3"/>
  <c r="M33" i="3" s="1"/>
  <c r="M34" i="3" s="1"/>
  <c r="N26" i="3"/>
  <c r="N33" i="3" s="1"/>
  <c r="N34" i="3" s="1"/>
  <c r="B26" i="3"/>
  <c r="B33" i="3" s="1"/>
  <c r="B34" i="3" s="1"/>
  <c r="O15" i="3"/>
  <c r="O16" i="3"/>
  <c r="O17" i="3"/>
  <c r="O18" i="3"/>
  <c r="O19" i="3"/>
  <c r="O20" i="3"/>
  <c r="O14" i="3"/>
  <c r="B21" i="3"/>
  <c r="B22" i="3" s="1"/>
  <c r="L22" i="3"/>
  <c r="K22" i="3"/>
  <c r="N21" i="3"/>
  <c r="N22" i="3" s="1"/>
  <c r="M21" i="3"/>
  <c r="M22" i="3" s="1"/>
  <c r="L21" i="3"/>
  <c r="K21" i="3"/>
  <c r="J21" i="3"/>
  <c r="J22" i="3" s="1"/>
  <c r="I21" i="3"/>
  <c r="I22" i="3" s="1"/>
  <c r="H21" i="3"/>
  <c r="H22" i="3" s="1"/>
  <c r="G21" i="3"/>
  <c r="G22" i="3" s="1"/>
  <c r="F21" i="3"/>
  <c r="F22" i="3" s="1"/>
  <c r="E21" i="3"/>
  <c r="E22" i="3" s="1"/>
  <c r="D21" i="3"/>
  <c r="D22" i="3" s="1"/>
  <c r="C21" i="3"/>
  <c r="C22" i="3" s="1"/>
  <c r="D10" i="3"/>
  <c r="E10" i="3"/>
  <c r="F10" i="3"/>
  <c r="G10" i="3"/>
  <c r="H10" i="3"/>
  <c r="K10" i="3"/>
  <c r="L10" i="3"/>
  <c r="O4" i="3"/>
  <c r="O5" i="3"/>
  <c r="O6" i="3"/>
  <c r="O7" i="3"/>
  <c r="O8" i="3"/>
  <c r="O3" i="3"/>
  <c r="O2" i="3"/>
  <c r="M9" i="3"/>
  <c r="M10" i="3" s="1"/>
  <c r="O9" i="3"/>
  <c r="C9" i="3"/>
  <c r="C10" i="3" s="1"/>
  <c r="D9" i="3"/>
  <c r="E9" i="3"/>
  <c r="F9" i="3"/>
  <c r="G9" i="3"/>
  <c r="H9" i="3"/>
  <c r="I9" i="3"/>
  <c r="I10" i="3" s="1"/>
  <c r="J9" i="3"/>
  <c r="J10" i="3" s="1"/>
  <c r="K9" i="3"/>
  <c r="L9" i="3"/>
  <c r="N9" i="3"/>
  <c r="N10" i="3" s="1"/>
  <c r="B9" i="3"/>
  <c r="B10" i="3" s="1"/>
  <c r="P27" i="3"/>
  <c r="C5" i="7"/>
  <c r="C6" i="7"/>
  <c r="C7" i="7"/>
  <c r="C8" i="7"/>
  <c r="C9" i="7"/>
  <c r="C10" i="7"/>
  <c r="C11" i="7"/>
  <c r="C12" i="7"/>
  <c r="C13" i="7"/>
  <c r="C14" i="7"/>
  <c r="C17" i="7"/>
  <c r="C18" i="7"/>
  <c r="C19" i="7"/>
  <c r="C20" i="7"/>
  <c r="C21" i="7"/>
  <c r="C22" i="7"/>
  <c r="C23" i="7"/>
  <c r="C24" i="7"/>
  <c r="C25" i="7"/>
  <c r="C2" i="7"/>
  <c r="B26" i="7"/>
  <c r="C3" i="7" s="1"/>
  <c r="B14" i="5"/>
  <c r="B15" i="5" s="1"/>
  <c r="C13" i="5" l="1"/>
  <c r="C7" i="5"/>
  <c r="C8" i="5"/>
  <c r="C2" i="5"/>
  <c r="C3" i="5"/>
  <c r="C4" i="5"/>
  <c r="C5" i="5"/>
  <c r="C6" i="5"/>
  <c r="C9" i="5"/>
  <c r="C10" i="5"/>
  <c r="C12" i="5"/>
  <c r="C11" i="5"/>
  <c r="M35" i="3"/>
  <c r="K35" i="3"/>
  <c r="F23" i="3"/>
  <c r="I35" i="3"/>
  <c r="B23" i="3"/>
  <c r="G23" i="3"/>
  <c r="H23" i="3"/>
  <c r="J35" i="3"/>
  <c r="O10" i="3"/>
  <c r="H11" i="3" s="1"/>
  <c r="C16" i="7"/>
  <c r="C4" i="7"/>
  <c r="C15" i="7"/>
  <c r="O34" i="3"/>
  <c r="N35" i="3" s="1"/>
  <c r="O33" i="3"/>
  <c r="O22" i="3"/>
  <c r="O21" i="3"/>
  <c r="H5" i="4"/>
  <c r="K11" i="4" s="1"/>
  <c r="P15" i="3"/>
  <c r="I4" i="6"/>
  <c r="C11" i="3" l="1"/>
  <c r="B11" i="3"/>
  <c r="D11" i="3"/>
  <c r="L11" i="3"/>
  <c r="M23" i="3"/>
  <c r="E23" i="3"/>
  <c r="L23" i="3"/>
  <c r="D23" i="3"/>
  <c r="K23" i="3"/>
  <c r="C23" i="3"/>
  <c r="F11" i="3"/>
  <c r="J11" i="3"/>
  <c r="C35" i="3"/>
  <c r="I11" i="3"/>
  <c r="B35" i="3"/>
  <c r="N11" i="3"/>
  <c r="L35" i="3"/>
  <c r="M11" i="3"/>
  <c r="G35" i="3"/>
  <c r="N23" i="3"/>
  <c r="F35" i="3"/>
  <c r="I23" i="3"/>
  <c r="E11" i="3"/>
  <c r="P12" i="3" s="1"/>
  <c r="E35" i="3"/>
  <c r="J23" i="3"/>
  <c r="K11" i="3"/>
  <c r="D35" i="3"/>
  <c r="G11" i="3"/>
  <c r="H35" i="3"/>
  <c r="I16" i="6"/>
  <c r="I13" i="6"/>
  <c r="I9" i="6"/>
</calcChain>
</file>

<file path=xl/sharedStrings.xml><?xml version="1.0" encoding="utf-8"?>
<sst xmlns="http://schemas.openxmlformats.org/spreadsheetml/2006/main" count="159" uniqueCount="65">
  <si>
    <t>HORA     
DE - A</t>
  </si>
  <si>
    <t>AUTOMÓVILES VAGONETAS Y JEEP</t>
  </si>
  <si>
    <t>CAMIONETAS</t>
  </si>
  <si>
    <t>MINIBUSES</t>
  </si>
  <si>
    <t>CAMIÓN CON SEMIRREMOLQUE</t>
  </si>
  <si>
    <t>CAMION CON
REMOLQUE</t>
  </si>
  <si>
    <t>MOTOCICLETAS</t>
  </si>
  <si>
    <t>OTROS VEHICULOS</t>
  </si>
  <si>
    <t>TOTAL</t>
  </si>
  <si>
    <t xml:space="preserve">14:00:00 14:15:00 </t>
  </si>
  <si>
    <t>14:00:15 14:30:00</t>
  </si>
  <si>
    <t>14:30:00 14:45:00</t>
  </si>
  <si>
    <t>14:45:00 15:00:00</t>
  </si>
  <si>
    <t>MICROBUSES
(DOS EJES)</t>
  </si>
  <si>
    <t>BÚS MEDIANO
(DOS EJES)</t>
  </si>
  <si>
    <t>BÚS GRANDE 
(DOS O MAS EJES)</t>
  </si>
  <si>
    <t>CAMIÓN MEDIANO
(DOS EJES)</t>
  </si>
  <si>
    <t>CAMIÓN GRANDE
( DOS EJES)</t>
  </si>
  <si>
    <t>CAMION GRANDE
(TRES EJES)</t>
  </si>
  <si>
    <t>NRO.</t>
  </si>
  <si>
    <t>Sabado</t>
  </si>
  <si>
    <t>Domingo</t>
  </si>
  <si>
    <t>Lunes</t>
  </si>
  <si>
    <t>Martes</t>
  </si>
  <si>
    <t>Miércoles</t>
  </si>
  <si>
    <t>Jueves</t>
  </si>
  <si>
    <t>Viernes</t>
  </si>
  <si>
    <t xml:space="preserve">AÑO </t>
  </si>
  <si>
    <t>TPDA</t>
  </si>
  <si>
    <t>N°</t>
  </si>
  <si>
    <t>VEHÍCULOS</t>
  </si>
  <si>
    <t>fe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</si>
  <si>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</si>
  <si>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</si>
  <si>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</si>
  <si>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</si>
  <si>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</si>
  <si>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</si>
  <si>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</si>
  <si>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</si>
  <si>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</si>
  <si>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</si>
  <si>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</si>
  <si>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</si>
  <si>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TIPOS DE CONFIGURACIONES DE EJE </t>
  </si>
  <si>
    <t>PESO BRUTO MÁXIMO PERMITIDO POR EJE O GRUPO DE EJES (TONELADAS)</t>
  </si>
  <si>
    <t>Eje sencillo (direccional o fijo) de 2 llantas</t>
  </si>
  <si>
    <t>Eje sencillo de 4 llantas</t>
  </si>
  <si>
    <t>Eje tipo trídem de 6 llantas</t>
  </si>
  <si>
    <t>Eje tipo trídem de 10 llantas con un eje con cubiertas extra anchas y suspensión neumática</t>
  </si>
  <si>
    <t xml:space="preserve"> </t>
  </si>
  <si>
    <t>VELOCIDAD PROMEDIO</t>
  </si>
  <si>
    <t>85 PERCENTIL</t>
  </si>
  <si>
    <t>TASA TOTAL</t>
  </si>
  <si>
    <t>TRÁFICO DE DESARROLLO</t>
  </si>
  <si>
    <t>TRÁFICO GENERADO</t>
  </si>
  <si>
    <t>TRÁFICO INDUCIDO</t>
  </si>
  <si>
    <t>%</t>
  </si>
  <si>
    <t>sumatoria</t>
  </si>
  <si>
    <t>tpd</t>
  </si>
  <si>
    <t>TPDS</t>
  </si>
  <si>
    <t>1. ordenar de menor a mayor por tipo de vehículo</t>
  </si>
  <si>
    <t>2. calcular la velocidad promedio</t>
  </si>
  <si>
    <t>3. determinar la velocidad al 85 perceltil</t>
  </si>
  <si>
    <t xml:space="preserve">4. Determinar el  rango de velocidades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</si>
</sst>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b/>
      <sz val="6"/>
      <color theme="0"/>
      <name val="Ebrima"/>
    </font>
    <font>
      <sz val="6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</font>
    <font>
      <sz val="16"/>
      <color rgb="FF000000"/>
      <name val="Calibri"/>
      <family val="2"/>
    </font>
    <font>
      <sz val="2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rgb="FF003B55"/>
      <name val="Arial"/>
      <family val="2"/>
    </font>
    <font>
      <sz val="9"/>
      <color rgb="FF003B55"/>
      <name val="Arial"/>
      <family val="2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24"/>
      <color theme="7" tint="0.59999389629810485"/>
      <name val="Calibri"/>
      <family val="2"/>
      <scheme val="minor"/>
    </font>
    <font>
      <b/>
      <i/>
      <sz val="12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F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justify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5" fillId="3" borderId="13" xfId="0" applyFont="1" applyFill="1" applyBorder="1" applyAlignment="1">
      <alignment horizontal="justify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7" fillId="0" borderId="0" xfId="0" applyFont="1"/>
    <xf numFmtId="0" fontId="9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1" fillId="0" borderId="0" xfId="0" applyFont="1"/>
    <xf numFmtId="2" fontId="11" fillId="0" borderId="0" xfId="0" applyNumberFormat="1" applyFont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/>
    <xf numFmtId="164" fontId="14" fillId="0" borderId="0" xfId="1" applyNumberFormat="1" applyFont="1"/>
    <xf numFmtId="10" fontId="0" fillId="0" borderId="0" xfId="0" applyNumberFormat="1"/>
    <xf numFmtId="0" fontId="15" fillId="0" borderId="0" xfId="0" applyFont="1"/>
    <xf numFmtId="10" fontId="15" fillId="0" borderId="0" xfId="0" applyNumberFormat="1" applyFont="1"/>
    <xf numFmtId="1" fontId="0" fillId="0" borderId="0" xfId="0" applyNumberFormat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2" fontId="11" fillId="0" borderId="1" xfId="0" applyNumberFormat="1" applyFont="1" applyBorder="1" applyAlignment="1">
      <alignment horizontal="center"/>
    </xf>
    <xf numFmtId="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/>
    <xf numFmtId="1" fontId="0" fillId="0" borderId="15" xfId="0" applyNumberFormat="1" applyBorder="1" applyAlignment="1">
      <alignment horizontal="center" vertical="center"/>
    </xf>
    <xf numFmtId="0" fontId="17" fillId="8" borderId="13" xfId="0" applyFont="1" applyFill="1" applyBorder="1" applyAlignment="1">
      <alignment horizontal="center" wrapText="1" readingOrder="1"/>
    </xf>
    <xf numFmtId="0" fontId="18" fillId="8" borderId="13" xfId="0" applyFont="1" applyFill="1" applyBorder="1" applyAlignment="1">
      <alignment horizontal="center" wrapText="1" readingOrder="1"/>
    </xf>
    <xf numFmtId="10" fontId="18" fillId="8" borderId="13" xfId="0" applyNumberFormat="1" applyFont="1" applyFill="1" applyBorder="1" applyAlignment="1">
      <alignment horizontal="center" wrapText="1" readingOrder="1"/>
    </xf>
    <xf numFmtId="10" fontId="17" fillId="8" borderId="13" xfId="0" applyNumberFormat="1" applyFont="1" applyFill="1" applyBorder="1" applyAlignment="1">
      <alignment horizontal="center" wrapText="1" readingOrder="1"/>
    </xf>
    <xf numFmtId="0" fontId="11" fillId="9" borderId="14" xfId="0" applyFont="1" applyFill="1" applyBorder="1"/>
    <xf numFmtId="1" fontId="11" fillId="9" borderId="0" xfId="0" applyNumberFormat="1" applyFont="1" applyFill="1" applyAlignment="1">
      <alignment horizontal="center"/>
    </xf>
    <xf numFmtId="0" fontId="19" fillId="6" borderId="14" xfId="0" applyFont="1" applyFill="1" applyBorder="1"/>
    <xf numFmtId="1" fontId="19" fillId="6" borderId="0" xfId="0" applyNumberFormat="1" applyFont="1" applyFill="1"/>
    <xf numFmtId="0" fontId="0" fillId="0" borderId="0" xfId="0" applyFill="1" applyBorder="1" applyAlignment="1">
      <alignment horizontal="center"/>
    </xf>
    <xf numFmtId="0" fontId="0" fillId="10" borderId="14" xfId="0" applyFill="1" applyBorder="1"/>
    <xf numFmtId="0" fontId="0" fillId="10" borderId="0" xfId="0" applyFill="1" applyBorder="1" applyAlignment="1">
      <alignment horizontal="center"/>
    </xf>
    <xf numFmtId="0" fontId="0" fillId="13" borderId="14" xfId="0" applyFill="1" applyBorder="1"/>
    <xf numFmtId="1" fontId="0" fillId="13" borderId="0" xfId="0" applyNumberFormat="1" applyFill="1" applyBorder="1" applyAlignment="1">
      <alignment horizontal="center"/>
    </xf>
    <xf numFmtId="1" fontId="0" fillId="13" borderId="0" xfId="0" applyNumberFormat="1" applyFill="1"/>
    <xf numFmtId="0" fontId="0" fillId="0" borderId="14" xfId="0" applyFill="1" applyBorder="1" applyAlignment="1">
      <alignment horizontal="center" vertical="center" wrapText="1"/>
    </xf>
    <xf numFmtId="0" fontId="21" fillId="12" borderId="14" xfId="0" applyFont="1" applyFill="1" applyBorder="1"/>
    <xf numFmtId="10" fontId="21" fillId="12" borderId="0" xfId="1" applyNumberFormat="1" applyFont="1" applyFill="1"/>
    <xf numFmtId="2" fontId="22" fillId="12" borderId="0" xfId="0" applyNumberFormat="1" applyFont="1" applyFill="1"/>
    <xf numFmtId="0" fontId="1" fillId="12" borderId="4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" fontId="0" fillId="11" borderId="15" xfId="0" applyNumberFormat="1" applyFill="1" applyBorder="1" applyAlignment="1">
      <alignment horizontal="center" vertical="center"/>
    </xf>
    <xf numFmtId="1" fontId="20" fillId="14" borderId="15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0" xfId="0" applyFont="1" applyFill="1" applyBorder="1" applyAlignment="1">
      <alignment horizontal="center" vertical="center" wrapText="1" readingOrder="1"/>
    </xf>
    <xf numFmtId="0" fontId="5" fillId="3" borderId="1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104775</xdr:rowOff>
    </xdr:from>
    <xdr:to>
      <xdr:col>5</xdr:col>
      <xdr:colOff>581025</xdr:colOff>
      <xdr:row>3</xdr:row>
      <xdr:rowOff>158479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>
            <a:xfrm>
              <a:off x="3962400" y="438150"/>
              <a:ext cx="1504950" cy="720454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BO" sz="20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𝑇𝑃𝐷</m:t>
                        </m:r>
                      </m:num>
                      <m:den>
                        <m:sSub>
                          <m:sSubPr>
                            <m:ctrlPr>
                              <a:rPr lang="es-BO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2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BO" sz="2000"/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>
            <a:xfrm>
              <a:off x="3962400" y="438150"/>
              <a:ext cx="1504950" cy="720454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:r>
                <a:rPr lang="es-MX" sz="2000" i="0">
                  <a:latin typeface="Cambria Math" panose="02040503050406030204" pitchFamily="18" charset="0"/>
                </a:rPr>
                <a:t>𝑓</a:t>
              </a:r>
              <a:r>
                <a:rPr lang="es-BO" sz="2000" i="0">
                  <a:latin typeface="Cambria Math" panose="02040503050406030204" pitchFamily="18" charset="0"/>
                </a:rPr>
                <a:t>_</a:t>
              </a:r>
              <a:r>
                <a:rPr lang="es-MX" sz="2000" i="0">
                  <a:latin typeface="Cambria Math" panose="02040503050406030204" pitchFamily="18" charset="0"/>
                </a:rPr>
                <a:t>𝑒</a:t>
              </a:r>
              <a:r>
                <a:rPr lang="es-BO" sz="2000" i="0">
                  <a:latin typeface="Cambria Math" panose="02040503050406030204" pitchFamily="18" charset="0"/>
                </a:rPr>
                <a:t>= </a:t>
              </a:r>
              <a:r>
                <a:rPr lang="es-MX" sz="2000" i="0">
                  <a:latin typeface="Cambria Math" panose="02040503050406030204" pitchFamily="18" charset="0"/>
                </a:rPr>
                <a:t> 𝑇𝑃𝐷</a:t>
              </a:r>
              <a:r>
                <a:rPr lang="es-BO" sz="2000" i="0">
                  <a:latin typeface="Cambria Math" panose="02040503050406030204" pitchFamily="18" charset="0"/>
                </a:rPr>
                <a:t>/𝑄_</a:t>
              </a:r>
              <a:r>
                <a:rPr lang="es-MX" sz="2000" i="0">
                  <a:latin typeface="Cambria Math" panose="02040503050406030204" pitchFamily="18" charset="0"/>
                </a:rPr>
                <a:t>𝑚 </a:t>
              </a:r>
              <a:endParaRPr lang="es-BO" sz="20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57149</xdr:rowOff>
    </xdr:from>
    <xdr:to>
      <xdr:col>6</xdr:col>
      <xdr:colOff>704850</xdr:colOff>
      <xdr:row>3</xdr:row>
      <xdr:rowOff>179579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2FF70519-2D7C-4F6F-A335-A9A74F059147}"/>
                </a:ext>
              </a:extLst>
            </xdr:cNvPr>
            <xdr:cNvSpPr/>
          </xdr:nvSpPr>
          <xdr:spPr>
            <a:xfrm>
              <a:off x="3352800" y="57149"/>
              <a:ext cx="1924050" cy="72250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BO" sz="20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BO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2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𝑛h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BO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2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24</m:t>
                            </m:r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BO" sz="2000"/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2FF70519-2D7C-4F6F-A335-A9A74F059147}"/>
                </a:ext>
              </a:extLst>
            </xdr:cNvPr>
            <xdr:cNvSpPr/>
          </xdr:nvSpPr>
          <xdr:spPr>
            <a:xfrm>
              <a:off x="3352800" y="57149"/>
              <a:ext cx="1924050" cy="72250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:r>
                <a:rPr lang="es-MX" sz="2000" i="0">
                  <a:latin typeface="Cambria Math" panose="02040503050406030204" pitchFamily="18" charset="0"/>
                </a:rPr>
                <a:t>𝑓</a:t>
              </a:r>
              <a:r>
                <a:rPr lang="es-BO" sz="2000" i="0">
                  <a:latin typeface="Cambria Math" panose="02040503050406030204" pitchFamily="18" charset="0"/>
                </a:rPr>
                <a:t>_</a:t>
              </a:r>
              <a:r>
                <a:rPr lang="es-MX" sz="2000" i="0">
                  <a:latin typeface="Cambria Math" panose="02040503050406030204" pitchFamily="18" charset="0"/>
                </a:rPr>
                <a:t>𝑛</a:t>
              </a:r>
              <a:r>
                <a:rPr lang="es-BO" sz="2000" i="0">
                  <a:latin typeface="Cambria Math" panose="02040503050406030204" pitchFamily="18" charset="0"/>
                </a:rPr>
                <a:t>=  𝑄_</a:t>
              </a:r>
              <a:r>
                <a:rPr lang="es-MX" sz="2000" i="0">
                  <a:latin typeface="Cambria Math" panose="02040503050406030204" pitchFamily="18" charset="0"/>
                </a:rPr>
                <a:t>𝑛ℎ</a:t>
              </a:r>
              <a:r>
                <a:rPr lang="es-BO" sz="2000" i="0">
                  <a:latin typeface="Cambria Math" panose="02040503050406030204" pitchFamily="18" charset="0"/>
                </a:rPr>
                <a:t>/𝑄_</a:t>
              </a:r>
              <a:r>
                <a:rPr lang="es-MX" sz="2000" i="0">
                  <a:latin typeface="Cambria Math" panose="02040503050406030204" pitchFamily="18" charset="0"/>
                </a:rPr>
                <a:t>24ℎ </a:t>
              </a:r>
              <a:endParaRPr lang="es-BO" sz="20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168519</xdr:colOff>
      <xdr:row>0</xdr:row>
      <xdr:rowOff>190500</xdr:rowOff>
    </xdr:from>
    <xdr:to>
      <xdr:col>5</xdr:col>
      <xdr:colOff>389246</xdr:colOff>
      <xdr:row>6</xdr:row>
      <xdr:rowOff>4396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92519" y="190500"/>
          <a:ext cx="2506727" cy="13525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8</xdr:row>
      <xdr:rowOff>114300</xdr:rowOff>
    </xdr:from>
    <xdr:to>
      <xdr:col>4</xdr:col>
      <xdr:colOff>838200</xdr:colOff>
      <xdr:row>15</xdr:row>
      <xdr:rowOff>129631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>
            <a:xfrm>
              <a:off x="1000125" y="2590800"/>
              <a:ext cx="3943350" cy="1348831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4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BO" sz="4000" i="1">
                            <a:latin typeface="Cambria Math" panose="02040503050406030204" pitchFamily="18" charset="0"/>
                          </a:rPr>
                          <m:t>𝐹𝐻𝑃</m:t>
                        </m:r>
                      </m:e>
                      <m:sub/>
                    </m:sSub>
                    <m:r>
                      <a:rPr lang="es-BO" sz="40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BO" sz="4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BO" sz="4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𝑉𝐻𝑃</m:t>
                            </m:r>
                          </m:e>
                          <m:sub/>
                        </m:sSub>
                      </m:num>
                      <m:den>
                        <m:sSub>
                          <m:sSubPr>
                            <m:ctrlPr>
                              <a:rPr lang="es-BO" sz="4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BO" sz="4000"/>
            </a:p>
          </xdr:txBody>
        </xdr:sp>
      </mc:Choice>
      <mc:Fallback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>
            <a:xfrm>
              <a:off x="1000125" y="2590800"/>
              <a:ext cx="3943350" cy="1348831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:r>
                <a:rPr lang="es-BO" sz="4000" i="0">
                  <a:latin typeface="Cambria Math" panose="02040503050406030204" pitchFamily="18" charset="0"/>
                </a:rPr>
                <a:t>〖𝐹𝐻𝑃〗_ =  〖𝑉𝐻𝑃〗_ /〖𝑛  𝐼〗_𝑚á𝑥 </a:t>
              </a:r>
              <a:endParaRPr lang="es-BO" sz="40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1</xdr:row>
      <xdr:rowOff>161925</xdr:rowOff>
    </xdr:from>
    <xdr:to>
      <xdr:col>7</xdr:col>
      <xdr:colOff>220821</xdr:colOff>
      <xdr:row>15</xdr:row>
      <xdr:rowOff>421602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BA7B485-B044-40F5-8CBB-01F7A5E3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" y="352425"/>
          <a:ext cx="2878296" cy="3079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619298</xdr:colOff>
      <xdr:row>9</xdr:row>
      <xdr:rowOff>58032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332EF24-99AA-4EBB-B8A9-8994F6BBF411}"/>
            </a:ext>
          </a:extLst>
        </xdr:cNvPr>
        <xdr:cNvSpPr/>
      </xdr:nvSpPr>
      <xdr:spPr>
        <a:xfrm>
          <a:off x="7620000" y="381000"/>
          <a:ext cx="5953298" cy="1391532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BO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pPr algn="ctr">
            <a:spcAft>
              <a:spcPts val="0"/>
            </a:spcAft>
          </a:pPr>
          <a:r>
            <a:rPr lang="es-ES" b="1" u="sng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LEY  Nº 441</a:t>
          </a:r>
          <a:endParaRPr lang="es-BO" sz="2000">
            <a:solidFill>
              <a:srgbClr val="0070C0"/>
            </a:solidFill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s-ES" b="1" u="sng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LEY DE 25 DE NOVIEMBRE DE 2013</a:t>
          </a:r>
          <a:r>
            <a:rPr lang="es-ES" b="1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 </a:t>
          </a:r>
          <a:endParaRPr lang="es-BO" sz="2000">
            <a:solidFill>
              <a:srgbClr val="0070C0"/>
            </a:solidFill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s-ES" b="1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LEY DE CONTROL DE PESOS Y DIMENSIONES VEHICULARES</a:t>
          </a:r>
          <a:endParaRPr lang="es-BO" sz="2000">
            <a:solidFill>
              <a:srgbClr val="0070C0"/>
            </a:solidFill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s-ES" b="1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EN LA RED VIAL FUNDAMENTAL</a:t>
          </a:r>
          <a:endParaRPr lang="es-BO" sz="2000">
            <a:solidFill>
              <a:srgbClr val="0070C0"/>
            </a:solidFill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zoomScale="80" zoomScaleNormal="80" workbookViewId="0">
      <selection activeCell="C2" sqref="C2:C13"/>
    </sheetView>
  </sheetViews>
  <sheetFormatPr baseColWidth="10" defaultRowHeight="15" x14ac:dyDescent="0.25"/>
  <cols>
    <col min="1" max="1" width="19.5703125" bestFit="1" customWidth="1"/>
    <col min="2" max="2" width="19.42578125" bestFit="1" customWidth="1"/>
  </cols>
  <sheetData>
    <row r="1" spans="1:3" ht="26.25" x14ac:dyDescent="0.4">
      <c r="A1" s="31" t="s">
        <v>29</v>
      </c>
      <c r="B1" s="31" t="s">
        <v>30</v>
      </c>
      <c r="C1" s="31" t="s">
        <v>31</v>
      </c>
    </row>
    <row r="2" spans="1:3" ht="26.25" x14ac:dyDescent="0.4">
      <c r="A2" s="32" t="s">
        <v>32</v>
      </c>
      <c r="B2" s="31">
        <v>550</v>
      </c>
      <c r="C2" s="33">
        <f>$B$15/B2</f>
        <v>0.9175757575757576</v>
      </c>
    </row>
    <row r="3" spans="1:3" ht="26.25" x14ac:dyDescent="0.4">
      <c r="A3" s="32" t="s">
        <v>33</v>
      </c>
      <c r="B3" s="31">
        <v>620</v>
      </c>
      <c r="C3" s="33">
        <f t="shared" ref="C3:C13" si="0">$B$15/B3</f>
        <v>0.8139784946236559</v>
      </c>
    </row>
    <row r="4" spans="1:3" ht="26.25" x14ac:dyDescent="0.4">
      <c r="A4" s="32" t="s">
        <v>34</v>
      </c>
      <c r="B4" s="31">
        <v>550</v>
      </c>
      <c r="C4" s="33">
        <f t="shared" si="0"/>
        <v>0.9175757575757576</v>
      </c>
    </row>
    <row r="5" spans="1:3" ht="26.25" x14ac:dyDescent="0.4">
      <c r="A5" s="32" t="s">
        <v>35</v>
      </c>
      <c r="B5" s="31">
        <v>280</v>
      </c>
      <c r="C5" s="33">
        <f t="shared" si="0"/>
        <v>1.8023809523809524</v>
      </c>
    </row>
    <row r="6" spans="1:3" ht="26.25" x14ac:dyDescent="0.4">
      <c r="A6" s="32" t="s">
        <v>36</v>
      </c>
      <c r="B6" s="31">
        <v>220</v>
      </c>
      <c r="C6" s="33">
        <f t="shared" si="0"/>
        <v>2.2939393939393939</v>
      </c>
    </row>
    <row r="7" spans="1:3" ht="26.25" x14ac:dyDescent="0.4">
      <c r="A7" s="32" t="s">
        <v>37</v>
      </c>
      <c r="B7" s="31">
        <v>360</v>
      </c>
      <c r="C7" s="33">
        <f t="shared" si="0"/>
        <v>1.4018518518518519</v>
      </c>
    </row>
    <row r="8" spans="1:3" ht="26.25" x14ac:dyDescent="0.4">
      <c r="A8" s="32" t="s">
        <v>38</v>
      </c>
      <c r="B8" s="31">
        <v>460</v>
      </c>
      <c r="C8" s="33">
        <f t="shared" si="0"/>
        <v>1.0971014492753624</v>
      </c>
    </row>
    <row r="9" spans="1:3" ht="26.25" x14ac:dyDescent="0.4">
      <c r="A9" s="32" t="s">
        <v>39</v>
      </c>
      <c r="B9" s="31">
        <v>528</v>
      </c>
      <c r="C9" s="33">
        <f t="shared" si="0"/>
        <v>0.95580808080808088</v>
      </c>
    </row>
    <row r="10" spans="1:3" ht="26.25" x14ac:dyDescent="0.4">
      <c r="A10" s="32" t="s">
        <v>40</v>
      </c>
      <c r="B10" s="31">
        <v>758</v>
      </c>
      <c r="C10" s="33">
        <f t="shared" si="0"/>
        <v>0.66578715919085318</v>
      </c>
    </row>
    <row r="11" spans="1:3" ht="26.25" x14ac:dyDescent="0.4">
      <c r="A11" s="32" t="s">
        <v>41</v>
      </c>
      <c r="B11" s="31">
        <v>450</v>
      </c>
      <c r="C11" s="33">
        <f t="shared" si="0"/>
        <v>1.1214814814814815</v>
      </c>
    </row>
    <row r="12" spans="1:3" ht="26.25" x14ac:dyDescent="0.4">
      <c r="A12" s="32" t="s">
        <v>42</v>
      </c>
      <c r="B12" s="31">
        <v>330</v>
      </c>
      <c r="C12" s="33">
        <f t="shared" si="0"/>
        <v>1.5292929292929294</v>
      </c>
    </row>
    <row r="13" spans="1:3" ht="26.25" x14ac:dyDescent="0.4">
      <c r="A13" s="32" t="s">
        <v>43</v>
      </c>
      <c r="B13" s="31">
        <v>950</v>
      </c>
      <c r="C13" s="33">
        <f t="shared" si="0"/>
        <v>0.5312280701754386</v>
      </c>
    </row>
    <row r="14" spans="1:3" ht="26.25" x14ac:dyDescent="0.4">
      <c r="A14" s="44" t="s">
        <v>58</v>
      </c>
      <c r="B14" s="45">
        <f>SUM(B2:B13)</f>
        <v>6056</v>
      </c>
      <c r="C14" s="21"/>
    </row>
    <row r="15" spans="1:3" ht="36" x14ac:dyDescent="0.55000000000000004">
      <c r="A15" s="46" t="s">
        <v>59</v>
      </c>
      <c r="B15" s="47">
        <f>B14/12</f>
        <v>504.66666666666669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2" sqref="C2:C25"/>
    </sheetView>
  </sheetViews>
  <sheetFormatPr baseColWidth="10" defaultRowHeight="15" x14ac:dyDescent="0.25"/>
  <sheetData>
    <row r="1" spans="1:3" ht="15.75" thickBot="1" x14ac:dyDescent="0.3">
      <c r="A1" s="40" t="s">
        <v>29</v>
      </c>
      <c r="B1" s="40" t="s">
        <v>30</v>
      </c>
      <c r="C1" s="40" t="s">
        <v>57</v>
      </c>
    </row>
    <row r="2" spans="1:3" ht="15.75" thickBot="1" x14ac:dyDescent="0.3">
      <c r="A2" s="41">
        <v>1</v>
      </c>
      <c r="B2" s="41">
        <v>329</v>
      </c>
      <c r="C2" s="42">
        <f>B2/$B$26</f>
        <v>1.0101320233343567E-2</v>
      </c>
    </row>
    <row r="3" spans="1:3" ht="15.75" thickBot="1" x14ac:dyDescent="0.3">
      <c r="A3" s="41">
        <v>2</v>
      </c>
      <c r="B3" s="41">
        <v>251</v>
      </c>
      <c r="C3" s="42">
        <f t="shared" ref="C3:C25" si="0">B3/$B$26</f>
        <v>7.7064783543137859E-3</v>
      </c>
    </row>
    <row r="4" spans="1:3" ht="15.75" thickBot="1" x14ac:dyDescent="0.3">
      <c r="A4" s="41">
        <v>3</v>
      </c>
      <c r="B4" s="41">
        <v>178</v>
      </c>
      <c r="C4" s="42">
        <f t="shared" si="0"/>
        <v>5.4651519803500153E-3</v>
      </c>
    </row>
    <row r="5" spans="1:3" ht="15.75" thickBot="1" x14ac:dyDescent="0.3">
      <c r="A5" s="41">
        <v>4</v>
      </c>
      <c r="B5" s="41">
        <v>165</v>
      </c>
      <c r="C5" s="42">
        <f t="shared" si="0"/>
        <v>5.0660116671783851E-3</v>
      </c>
    </row>
    <row r="6" spans="1:3" ht="15.75" thickBot="1" x14ac:dyDescent="0.3">
      <c r="A6" s="41">
        <v>5</v>
      </c>
      <c r="B6" s="41">
        <v>301</v>
      </c>
      <c r="C6" s="42">
        <f t="shared" si="0"/>
        <v>9.2416334049739025E-3</v>
      </c>
    </row>
    <row r="7" spans="1:3" ht="15.75" thickBot="1" x14ac:dyDescent="0.3">
      <c r="A7" s="41">
        <v>6</v>
      </c>
      <c r="B7" s="41">
        <v>869</v>
      </c>
      <c r="C7" s="42">
        <f t="shared" si="0"/>
        <v>2.6680994780472828E-2</v>
      </c>
    </row>
    <row r="8" spans="1:3" ht="15.75" thickBot="1" x14ac:dyDescent="0.3">
      <c r="A8" s="41">
        <v>7</v>
      </c>
      <c r="B8" s="41">
        <v>1929</v>
      </c>
      <c r="C8" s="42">
        <f t="shared" si="0"/>
        <v>5.9226281854467301E-2</v>
      </c>
    </row>
    <row r="9" spans="1:3" ht="15.75" thickBot="1" x14ac:dyDescent="0.3">
      <c r="A9" s="41">
        <v>8</v>
      </c>
      <c r="B9" s="41">
        <v>2148</v>
      </c>
      <c r="C9" s="42">
        <f t="shared" si="0"/>
        <v>6.5950260976358616E-2</v>
      </c>
    </row>
    <row r="10" spans="1:3" ht="15.75" thickBot="1" x14ac:dyDescent="0.3">
      <c r="A10" s="41">
        <v>9</v>
      </c>
      <c r="B10" s="41">
        <v>2297</v>
      </c>
      <c r="C10" s="42">
        <f t="shared" si="0"/>
        <v>7.0525023027325759E-2</v>
      </c>
    </row>
    <row r="11" spans="1:3" ht="15.75" thickBot="1" x14ac:dyDescent="0.3">
      <c r="A11" s="41">
        <v>10</v>
      </c>
      <c r="B11" s="41">
        <v>2141</v>
      </c>
      <c r="C11" s="42">
        <f t="shared" si="0"/>
        <v>6.5735339269266196E-2</v>
      </c>
    </row>
    <row r="12" spans="1:3" ht="15.75" thickBot="1" x14ac:dyDescent="0.3">
      <c r="A12" s="41">
        <v>11</v>
      </c>
      <c r="B12" s="41">
        <v>1991</v>
      </c>
      <c r="C12" s="42">
        <f t="shared" si="0"/>
        <v>6.1129874117285848E-2</v>
      </c>
    </row>
    <row r="13" spans="1:3" ht="15.75" thickBot="1" x14ac:dyDescent="0.3">
      <c r="A13" s="41">
        <v>12</v>
      </c>
      <c r="B13" s="41">
        <v>1847</v>
      </c>
      <c r="C13" s="42">
        <f t="shared" si="0"/>
        <v>5.6708627571384708E-2</v>
      </c>
    </row>
    <row r="14" spans="1:3" ht="15.75" thickBot="1" x14ac:dyDescent="0.3">
      <c r="A14" s="41">
        <v>13</v>
      </c>
      <c r="B14" s="41">
        <v>1679</v>
      </c>
      <c r="C14" s="42">
        <f t="shared" si="0"/>
        <v>5.1550506601166717E-2</v>
      </c>
    </row>
    <row r="15" spans="1:3" ht="15.75" thickBot="1" x14ac:dyDescent="0.3">
      <c r="A15" s="41">
        <v>14</v>
      </c>
      <c r="B15" s="41">
        <v>1693</v>
      </c>
      <c r="C15" s="42">
        <f t="shared" si="0"/>
        <v>5.1980350015351548E-2</v>
      </c>
    </row>
    <row r="16" spans="1:3" ht="15.75" thickBot="1" x14ac:dyDescent="0.3">
      <c r="A16" s="41">
        <v>15</v>
      </c>
      <c r="B16" s="41">
        <v>1670</v>
      </c>
      <c r="C16" s="42">
        <f t="shared" si="0"/>
        <v>5.1274178692047895E-2</v>
      </c>
    </row>
    <row r="17" spans="1:3" ht="15.75" thickBot="1" x14ac:dyDescent="0.3">
      <c r="A17" s="41">
        <v>16</v>
      </c>
      <c r="B17" s="41">
        <v>1764</v>
      </c>
      <c r="C17" s="42">
        <f t="shared" si="0"/>
        <v>5.4160270187288917E-2</v>
      </c>
    </row>
    <row r="18" spans="1:3" ht="15.75" thickBot="1" x14ac:dyDescent="0.3">
      <c r="A18" s="41">
        <v>17</v>
      </c>
      <c r="B18" s="41">
        <v>1772</v>
      </c>
      <c r="C18" s="42">
        <f t="shared" si="0"/>
        <v>5.4405894995394534E-2</v>
      </c>
    </row>
    <row r="19" spans="1:3" ht="15.75" thickBot="1" x14ac:dyDescent="0.3">
      <c r="A19" s="41">
        <v>18</v>
      </c>
      <c r="B19" s="41">
        <v>1776</v>
      </c>
      <c r="C19" s="42">
        <f t="shared" si="0"/>
        <v>5.4528707399447346E-2</v>
      </c>
    </row>
    <row r="20" spans="1:3" ht="15.75" thickBot="1" x14ac:dyDescent="0.3">
      <c r="A20" s="41">
        <v>19</v>
      </c>
      <c r="B20" s="41">
        <v>1761</v>
      </c>
      <c r="C20" s="42">
        <f t="shared" si="0"/>
        <v>5.406816088424931E-2</v>
      </c>
    </row>
    <row r="21" spans="1:3" ht="15.75" thickBot="1" x14ac:dyDescent="0.3">
      <c r="A21" s="41">
        <v>20</v>
      </c>
      <c r="B21" s="41">
        <v>1719</v>
      </c>
      <c r="C21" s="42">
        <f t="shared" si="0"/>
        <v>5.2778630641694808E-2</v>
      </c>
    </row>
    <row r="22" spans="1:3" ht="15.75" thickBot="1" x14ac:dyDescent="0.3">
      <c r="A22" s="41">
        <v>21</v>
      </c>
      <c r="B22" s="41">
        <v>1537</v>
      </c>
      <c r="C22" s="42">
        <f t="shared" si="0"/>
        <v>4.7190666257291985E-2</v>
      </c>
    </row>
    <row r="23" spans="1:3" ht="15.75" thickBot="1" x14ac:dyDescent="0.3">
      <c r="A23" s="41">
        <v>22</v>
      </c>
      <c r="B23" s="41">
        <v>899</v>
      </c>
      <c r="C23" s="42">
        <f t="shared" si="0"/>
        <v>2.7602087810868897E-2</v>
      </c>
    </row>
    <row r="24" spans="1:3" ht="15.75" thickBot="1" x14ac:dyDescent="0.3">
      <c r="A24" s="41">
        <v>23</v>
      </c>
      <c r="B24" s="41">
        <v>624</v>
      </c>
      <c r="C24" s="42">
        <f t="shared" si="0"/>
        <v>1.9158735032238257E-2</v>
      </c>
    </row>
    <row r="25" spans="1:3" ht="15.75" thickBot="1" x14ac:dyDescent="0.3">
      <c r="A25" s="41">
        <v>24</v>
      </c>
      <c r="B25" s="41">
        <v>1230</v>
      </c>
      <c r="C25" s="42">
        <f t="shared" si="0"/>
        <v>3.776481424623887E-2</v>
      </c>
    </row>
    <row r="26" spans="1:3" ht="15.75" thickBot="1" x14ac:dyDescent="0.3">
      <c r="A26" s="40" t="s">
        <v>8</v>
      </c>
      <c r="B26" s="40">
        <f>SUM(B2:B25)</f>
        <v>32570</v>
      </c>
      <c r="C26" s="43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topLeftCell="B18" workbookViewId="0">
      <selection activeCell="B35" sqref="B35:N35"/>
    </sheetView>
  </sheetViews>
  <sheetFormatPr baseColWidth="10" defaultRowHeight="15" x14ac:dyDescent="0.25"/>
  <cols>
    <col min="2" max="2" width="13.5703125" customWidth="1"/>
    <col min="3" max="3" width="12.85546875" bestFit="1" customWidth="1"/>
    <col min="4" max="4" width="10.7109375" bestFit="1" customWidth="1"/>
    <col min="5" max="5" width="12.85546875" customWidth="1"/>
    <col min="7" max="7" width="18.140625" customWidth="1"/>
    <col min="11" max="11" width="17.5703125" customWidth="1"/>
    <col min="12" max="12" width="13.7109375" bestFit="1" customWidth="1"/>
    <col min="13" max="13" width="15" customWidth="1"/>
    <col min="16" max="16" width="13.7109375" bestFit="1" customWidth="1"/>
  </cols>
  <sheetData>
    <row r="1" spans="1:16" ht="45" x14ac:dyDescent="0.25">
      <c r="A1" s="1"/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4</v>
      </c>
      <c r="L1" s="8" t="s">
        <v>5</v>
      </c>
      <c r="M1" s="8" t="s">
        <v>6</v>
      </c>
      <c r="N1" s="8" t="s">
        <v>7</v>
      </c>
      <c r="O1" s="54" t="s">
        <v>8</v>
      </c>
    </row>
    <row r="2" spans="1:16" x14ac:dyDescent="0.25">
      <c r="A2" s="1" t="s">
        <v>20</v>
      </c>
      <c r="B2" s="2">
        <v>1080</v>
      </c>
      <c r="C2" s="2">
        <v>181</v>
      </c>
      <c r="D2" s="2">
        <v>570</v>
      </c>
      <c r="E2" s="2">
        <v>3</v>
      </c>
      <c r="F2" s="2">
        <v>66</v>
      </c>
      <c r="G2" s="2">
        <v>476</v>
      </c>
      <c r="H2" s="2">
        <v>66</v>
      </c>
      <c r="I2" s="2">
        <v>178</v>
      </c>
      <c r="J2" s="2">
        <v>389</v>
      </c>
      <c r="K2" s="2">
        <v>579</v>
      </c>
      <c r="L2" s="2">
        <v>156</v>
      </c>
      <c r="M2" s="2">
        <v>18</v>
      </c>
      <c r="N2" s="2">
        <v>0</v>
      </c>
      <c r="O2">
        <f>SUM(B2:N2)</f>
        <v>3762</v>
      </c>
    </row>
    <row r="3" spans="1:16" x14ac:dyDescent="0.25">
      <c r="A3" s="1" t="s">
        <v>21</v>
      </c>
      <c r="B3" s="2">
        <v>1423</v>
      </c>
      <c r="C3" s="2">
        <v>177</v>
      </c>
      <c r="D3" s="2">
        <v>568</v>
      </c>
      <c r="E3" s="2">
        <v>1</v>
      </c>
      <c r="F3" s="2">
        <v>82</v>
      </c>
      <c r="G3" s="2">
        <v>538</v>
      </c>
      <c r="H3" s="2">
        <v>49</v>
      </c>
      <c r="I3" s="2">
        <v>208</v>
      </c>
      <c r="J3" s="2">
        <v>316</v>
      </c>
      <c r="K3" s="2">
        <v>492</v>
      </c>
      <c r="L3" s="2">
        <v>94</v>
      </c>
      <c r="M3" s="2">
        <v>31</v>
      </c>
      <c r="N3" s="2">
        <v>0</v>
      </c>
      <c r="O3">
        <f>SUM(B3:N3)</f>
        <v>3979</v>
      </c>
    </row>
    <row r="4" spans="1:16" x14ac:dyDescent="0.25">
      <c r="A4" s="1" t="s">
        <v>22</v>
      </c>
      <c r="B4" s="2">
        <v>1108</v>
      </c>
      <c r="C4" s="2">
        <v>169</v>
      </c>
      <c r="D4" s="2">
        <v>535</v>
      </c>
      <c r="E4" s="2">
        <v>6</v>
      </c>
      <c r="F4" s="2">
        <v>102</v>
      </c>
      <c r="G4" s="2">
        <v>578</v>
      </c>
      <c r="H4" s="2">
        <v>45</v>
      </c>
      <c r="I4" s="2">
        <v>219</v>
      </c>
      <c r="J4" s="2">
        <v>299</v>
      </c>
      <c r="K4" s="2">
        <v>329</v>
      </c>
      <c r="L4" s="2">
        <v>115</v>
      </c>
      <c r="M4" s="2">
        <v>21</v>
      </c>
      <c r="N4" s="2">
        <v>0</v>
      </c>
      <c r="O4">
        <f t="shared" ref="O4:O8" si="0">SUM(B4:N4)</f>
        <v>3526</v>
      </c>
    </row>
    <row r="5" spans="1:16" x14ac:dyDescent="0.25">
      <c r="A5" s="1" t="s">
        <v>23</v>
      </c>
      <c r="B5" s="2">
        <v>779</v>
      </c>
      <c r="C5" s="2">
        <v>140</v>
      </c>
      <c r="D5" s="2">
        <v>499</v>
      </c>
      <c r="E5" s="2">
        <v>2</v>
      </c>
      <c r="F5" s="2">
        <v>67</v>
      </c>
      <c r="G5" s="2">
        <v>527</v>
      </c>
      <c r="H5" s="2">
        <v>37</v>
      </c>
      <c r="I5" s="2">
        <v>241</v>
      </c>
      <c r="J5" s="2">
        <v>370</v>
      </c>
      <c r="K5" s="2">
        <v>433</v>
      </c>
      <c r="L5" s="2">
        <v>94</v>
      </c>
      <c r="M5" s="2">
        <v>12</v>
      </c>
      <c r="N5" s="2">
        <v>0</v>
      </c>
      <c r="O5">
        <f t="shared" si="0"/>
        <v>3201</v>
      </c>
    </row>
    <row r="6" spans="1:16" x14ac:dyDescent="0.25">
      <c r="A6" s="1" t="s">
        <v>24</v>
      </c>
      <c r="B6" s="2">
        <v>787</v>
      </c>
      <c r="C6" s="2">
        <v>176</v>
      </c>
      <c r="D6" s="2">
        <v>509</v>
      </c>
      <c r="E6" s="2">
        <v>3</v>
      </c>
      <c r="F6" s="2">
        <v>81</v>
      </c>
      <c r="G6" s="2">
        <v>621</v>
      </c>
      <c r="H6" s="2">
        <v>62</v>
      </c>
      <c r="I6" s="2">
        <v>287</v>
      </c>
      <c r="J6" s="2">
        <v>404</v>
      </c>
      <c r="K6" s="2">
        <v>605</v>
      </c>
      <c r="L6" s="2">
        <v>196</v>
      </c>
      <c r="M6" s="2">
        <v>16</v>
      </c>
      <c r="N6" s="2">
        <v>0</v>
      </c>
      <c r="O6">
        <f t="shared" si="0"/>
        <v>3747</v>
      </c>
    </row>
    <row r="7" spans="1:16" x14ac:dyDescent="0.25">
      <c r="A7" s="1" t="s">
        <v>25</v>
      </c>
      <c r="B7" s="2">
        <v>729</v>
      </c>
      <c r="C7" s="2">
        <v>168</v>
      </c>
      <c r="D7" s="2">
        <v>509</v>
      </c>
      <c r="E7" s="2">
        <v>6</v>
      </c>
      <c r="F7" s="2">
        <v>92</v>
      </c>
      <c r="G7" s="2">
        <v>626</v>
      </c>
      <c r="H7" s="2">
        <v>56</v>
      </c>
      <c r="I7" s="2">
        <v>253</v>
      </c>
      <c r="J7" s="2">
        <v>497</v>
      </c>
      <c r="K7" s="2">
        <v>596</v>
      </c>
      <c r="L7" s="2">
        <v>161</v>
      </c>
      <c r="M7" s="2">
        <v>23</v>
      </c>
      <c r="N7" s="2">
        <v>0</v>
      </c>
      <c r="O7">
        <f t="shared" si="0"/>
        <v>3716</v>
      </c>
    </row>
    <row r="8" spans="1:16" x14ac:dyDescent="0.25">
      <c r="A8" s="1" t="s">
        <v>26</v>
      </c>
      <c r="B8" s="2">
        <v>790</v>
      </c>
      <c r="C8" s="2">
        <v>168</v>
      </c>
      <c r="D8" s="2">
        <v>529</v>
      </c>
      <c r="E8" s="2">
        <v>2</v>
      </c>
      <c r="F8" s="2">
        <v>105</v>
      </c>
      <c r="G8" s="2">
        <v>734</v>
      </c>
      <c r="H8" s="2">
        <v>75</v>
      </c>
      <c r="I8" s="2">
        <v>256</v>
      </c>
      <c r="J8" s="2">
        <v>476</v>
      </c>
      <c r="K8" s="2">
        <v>607</v>
      </c>
      <c r="L8" s="2">
        <v>231</v>
      </c>
      <c r="M8" s="2">
        <v>25</v>
      </c>
      <c r="N8" s="2">
        <v>0</v>
      </c>
      <c r="O8">
        <f t="shared" si="0"/>
        <v>3998</v>
      </c>
    </row>
    <row r="9" spans="1:16" x14ac:dyDescent="0.25">
      <c r="A9" s="49" t="s">
        <v>8</v>
      </c>
      <c r="B9" s="50">
        <f>SUM(B2:B8)</f>
        <v>6696</v>
      </c>
      <c r="C9" s="50">
        <f t="shared" ref="C9:N9" si="1">SUM(C2:C8)</f>
        <v>1179</v>
      </c>
      <c r="D9" s="50">
        <f t="shared" si="1"/>
        <v>3719</v>
      </c>
      <c r="E9" s="50">
        <f t="shared" si="1"/>
        <v>23</v>
      </c>
      <c r="F9" s="50">
        <f t="shared" si="1"/>
        <v>595</v>
      </c>
      <c r="G9" s="50">
        <f t="shared" si="1"/>
        <v>4100</v>
      </c>
      <c r="H9" s="50">
        <f t="shared" si="1"/>
        <v>390</v>
      </c>
      <c r="I9" s="50">
        <f t="shared" si="1"/>
        <v>1642</v>
      </c>
      <c r="J9" s="50">
        <f t="shared" si="1"/>
        <v>2751</v>
      </c>
      <c r="K9" s="50">
        <f t="shared" si="1"/>
        <v>3641</v>
      </c>
      <c r="L9" s="50">
        <f t="shared" si="1"/>
        <v>1047</v>
      </c>
      <c r="M9" s="50">
        <f>SUM(M2:M8)</f>
        <v>146</v>
      </c>
      <c r="N9" s="50">
        <f t="shared" si="1"/>
        <v>0</v>
      </c>
      <c r="O9" s="48">
        <f>SUM(B9:N9)</f>
        <v>25929</v>
      </c>
    </row>
    <row r="10" spans="1:16" x14ac:dyDescent="0.25">
      <c r="A10" s="51" t="s">
        <v>60</v>
      </c>
      <c r="B10" s="52">
        <f>B9/7</f>
        <v>956.57142857142856</v>
      </c>
      <c r="C10" s="52">
        <f t="shared" ref="C10:N10" si="2">C9/7</f>
        <v>168.42857142857142</v>
      </c>
      <c r="D10" s="52">
        <f t="shared" si="2"/>
        <v>531.28571428571433</v>
      </c>
      <c r="E10" s="52">
        <f t="shared" si="2"/>
        <v>3.2857142857142856</v>
      </c>
      <c r="F10" s="52">
        <f t="shared" si="2"/>
        <v>85</v>
      </c>
      <c r="G10" s="52">
        <f t="shared" si="2"/>
        <v>585.71428571428567</v>
      </c>
      <c r="H10" s="52">
        <f t="shared" si="2"/>
        <v>55.714285714285715</v>
      </c>
      <c r="I10" s="52">
        <f t="shared" si="2"/>
        <v>234.57142857142858</v>
      </c>
      <c r="J10" s="52">
        <f t="shared" si="2"/>
        <v>393</v>
      </c>
      <c r="K10" s="52">
        <f t="shared" si="2"/>
        <v>520.14285714285711</v>
      </c>
      <c r="L10" s="52">
        <f t="shared" si="2"/>
        <v>149.57142857142858</v>
      </c>
      <c r="M10" s="52">
        <f t="shared" si="2"/>
        <v>20.857142857142858</v>
      </c>
      <c r="N10" s="52">
        <f t="shared" si="2"/>
        <v>0</v>
      </c>
      <c r="O10" s="53">
        <f>SUM(B10:N10)</f>
        <v>3704.1428571428564</v>
      </c>
    </row>
    <row r="11" spans="1:16" x14ac:dyDescent="0.25">
      <c r="A11" s="55" t="s">
        <v>57</v>
      </c>
      <c r="B11" s="56">
        <f>B10/$O$10</f>
        <v>0.25824366539396049</v>
      </c>
      <c r="C11" s="56">
        <f t="shared" ref="C11:N11" si="3">C10/$O$10</f>
        <v>4.5470322804581749E-2</v>
      </c>
      <c r="D11" s="56">
        <f t="shared" si="3"/>
        <v>0.14343013614100047</v>
      </c>
      <c r="E11" s="56">
        <f t="shared" si="3"/>
        <v>8.8703767981796453E-4</v>
      </c>
      <c r="F11" s="56">
        <f t="shared" si="3"/>
        <v>2.2947279108334301E-2</v>
      </c>
      <c r="G11" s="56">
        <f t="shared" si="3"/>
        <v>0.15812410814146324</v>
      </c>
      <c r="H11" s="56">
        <f t="shared" si="3"/>
        <v>1.504107370126114E-2</v>
      </c>
      <c r="I11" s="56">
        <f t="shared" si="3"/>
        <v>6.3326776967873824E-2</v>
      </c>
      <c r="J11" s="56">
        <f t="shared" si="3"/>
        <v>0.10609741987735742</v>
      </c>
      <c r="K11" s="56">
        <f t="shared" si="3"/>
        <v>0.14042192140074822</v>
      </c>
      <c r="L11" s="56">
        <f t="shared" si="3"/>
        <v>4.0379497859539523E-2</v>
      </c>
      <c r="M11" s="56">
        <f t="shared" si="3"/>
        <v>5.630760924061862E-3</v>
      </c>
      <c r="N11" s="56">
        <f t="shared" si="3"/>
        <v>0</v>
      </c>
    </row>
    <row r="12" spans="1:16" x14ac:dyDescent="0.25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>
        <f>SUM(B11:N11)</f>
        <v>1.0000000000000002</v>
      </c>
    </row>
    <row r="13" spans="1:16" ht="45" x14ac:dyDescent="0.25">
      <c r="A13" s="1"/>
      <c r="B13" s="8" t="s">
        <v>1</v>
      </c>
      <c r="C13" s="8" t="s">
        <v>2</v>
      </c>
      <c r="D13" s="8" t="s">
        <v>3</v>
      </c>
      <c r="E13" s="8" t="s">
        <v>13</v>
      </c>
      <c r="F13" s="8" t="s">
        <v>14</v>
      </c>
      <c r="G13" s="8" t="s">
        <v>15</v>
      </c>
      <c r="H13" s="8" t="s">
        <v>16</v>
      </c>
      <c r="I13" s="8" t="s">
        <v>17</v>
      </c>
      <c r="J13" s="8" t="s">
        <v>18</v>
      </c>
      <c r="K13" s="8" t="s">
        <v>4</v>
      </c>
      <c r="L13" s="8" t="s">
        <v>5</v>
      </c>
      <c r="M13" s="8" t="s">
        <v>6</v>
      </c>
      <c r="N13" s="8" t="s">
        <v>7</v>
      </c>
    </row>
    <row r="14" spans="1:16" x14ac:dyDescent="0.25">
      <c r="A14" s="1" t="s">
        <v>20</v>
      </c>
      <c r="B14" s="35">
        <v>729</v>
      </c>
      <c r="C14" s="35">
        <v>181</v>
      </c>
      <c r="D14" s="35">
        <v>570</v>
      </c>
      <c r="E14" s="35">
        <v>3</v>
      </c>
      <c r="F14" s="35">
        <v>66</v>
      </c>
      <c r="G14" s="35">
        <v>476</v>
      </c>
      <c r="H14" s="35">
        <v>66</v>
      </c>
      <c r="I14" s="35">
        <v>178</v>
      </c>
      <c r="J14" s="35">
        <v>497</v>
      </c>
      <c r="K14" s="35">
        <v>579</v>
      </c>
      <c r="L14" s="35">
        <v>156</v>
      </c>
      <c r="M14" s="35">
        <v>31</v>
      </c>
      <c r="N14" s="35">
        <v>0</v>
      </c>
      <c r="O14">
        <f>SUM(B14:N14)</f>
        <v>3532</v>
      </c>
    </row>
    <row r="15" spans="1:16" x14ac:dyDescent="0.25">
      <c r="A15" s="1" t="s">
        <v>21</v>
      </c>
      <c r="B15" s="35">
        <v>779</v>
      </c>
      <c r="C15" s="35">
        <v>177</v>
      </c>
      <c r="D15" s="35">
        <v>568</v>
      </c>
      <c r="E15" s="35">
        <v>1</v>
      </c>
      <c r="F15" s="35">
        <v>82</v>
      </c>
      <c r="G15" s="35">
        <v>538</v>
      </c>
      <c r="H15" s="35">
        <v>49</v>
      </c>
      <c r="I15" s="35">
        <v>208</v>
      </c>
      <c r="J15" s="35">
        <v>476</v>
      </c>
      <c r="K15" s="35">
        <v>492</v>
      </c>
      <c r="L15" s="35">
        <v>94</v>
      </c>
      <c r="M15" s="35">
        <v>25</v>
      </c>
      <c r="N15" s="35">
        <v>0</v>
      </c>
      <c r="O15">
        <f t="shared" ref="O15:O20" si="4">SUM(B15:N15)</f>
        <v>3489</v>
      </c>
      <c r="P15" s="34">
        <f>365*25*27005</f>
        <v>246420625</v>
      </c>
    </row>
    <row r="16" spans="1:16" x14ac:dyDescent="0.25">
      <c r="A16" s="1" t="s">
        <v>22</v>
      </c>
      <c r="B16" s="35">
        <v>787</v>
      </c>
      <c r="C16" s="35">
        <v>169</v>
      </c>
      <c r="D16" s="35">
        <v>535</v>
      </c>
      <c r="E16" s="35">
        <v>6</v>
      </c>
      <c r="F16" s="35">
        <v>102</v>
      </c>
      <c r="G16" s="35">
        <v>578</v>
      </c>
      <c r="H16" s="35">
        <v>45</v>
      </c>
      <c r="I16" s="35">
        <v>219</v>
      </c>
      <c r="J16" s="35">
        <v>404</v>
      </c>
      <c r="K16" s="35">
        <v>329</v>
      </c>
      <c r="L16" s="35">
        <v>115</v>
      </c>
      <c r="M16" s="35">
        <v>23</v>
      </c>
      <c r="N16" s="35">
        <v>0</v>
      </c>
      <c r="O16">
        <f t="shared" si="4"/>
        <v>3312</v>
      </c>
    </row>
    <row r="17" spans="1:16" x14ac:dyDescent="0.25">
      <c r="A17" s="1" t="s">
        <v>23</v>
      </c>
      <c r="B17" s="35">
        <v>790</v>
      </c>
      <c r="C17" s="35">
        <v>140</v>
      </c>
      <c r="D17" s="35">
        <v>499</v>
      </c>
      <c r="E17" s="35">
        <v>2</v>
      </c>
      <c r="F17" s="35">
        <v>67</v>
      </c>
      <c r="G17" s="35">
        <v>527</v>
      </c>
      <c r="H17" s="35">
        <v>37</v>
      </c>
      <c r="I17" s="35">
        <v>241</v>
      </c>
      <c r="J17" s="35">
        <v>389</v>
      </c>
      <c r="K17" s="35">
        <v>433</v>
      </c>
      <c r="L17" s="35">
        <v>94</v>
      </c>
      <c r="M17" s="35">
        <v>21</v>
      </c>
      <c r="N17" s="35">
        <v>0</v>
      </c>
      <c r="O17">
        <f t="shared" si="4"/>
        <v>3240</v>
      </c>
    </row>
    <row r="18" spans="1:16" x14ac:dyDescent="0.25">
      <c r="A18" s="1" t="s">
        <v>24</v>
      </c>
      <c r="B18" s="35">
        <v>1080</v>
      </c>
      <c r="C18" s="35">
        <v>176</v>
      </c>
      <c r="D18" s="35">
        <v>509</v>
      </c>
      <c r="E18" s="35">
        <v>3</v>
      </c>
      <c r="F18" s="35">
        <v>81</v>
      </c>
      <c r="G18" s="35">
        <v>621</v>
      </c>
      <c r="H18" s="35">
        <v>62</v>
      </c>
      <c r="I18" s="35">
        <v>253</v>
      </c>
      <c r="J18" s="35">
        <v>370</v>
      </c>
      <c r="K18" s="35">
        <v>605</v>
      </c>
      <c r="L18" s="35">
        <v>196</v>
      </c>
      <c r="M18" s="35">
        <v>18</v>
      </c>
      <c r="N18" s="35">
        <v>0</v>
      </c>
      <c r="O18">
        <f t="shared" si="4"/>
        <v>3974</v>
      </c>
    </row>
    <row r="19" spans="1:16" x14ac:dyDescent="0.25">
      <c r="A19" s="1" t="s">
        <v>25</v>
      </c>
      <c r="B19" s="35">
        <v>1108</v>
      </c>
      <c r="C19" s="35">
        <v>168</v>
      </c>
      <c r="D19" s="35">
        <v>509</v>
      </c>
      <c r="E19" s="35">
        <v>6</v>
      </c>
      <c r="F19" s="35">
        <v>92</v>
      </c>
      <c r="G19" s="35">
        <v>626</v>
      </c>
      <c r="H19" s="35">
        <v>56</v>
      </c>
      <c r="I19" s="35">
        <v>256</v>
      </c>
      <c r="J19" s="35">
        <v>316</v>
      </c>
      <c r="K19" s="35">
        <v>596</v>
      </c>
      <c r="L19" s="35">
        <v>161</v>
      </c>
      <c r="M19" s="35">
        <v>16</v>
      </c>
      <c r="N19" s="35">
        <v>0</v>
      </c>
      <c r="O19">
        <f t="shared" si="4"/>
        <v>3910</v>
      </c>
    </row>
    <row r="20" spans="1:16" x14ac:dyDescent="0.25">
      <c r="A20" s="1" t="s">
        <v>26</v>
      </c>
      <c r="B20" s="35">
        <v>1423</v>
      </c>
      <c r="C20" s="35">
        <v>168</v>
      </c>
      <c r="D20" s="35">
        <v>529</v>
      </c>
      <c r="E20" s="35">
        <v>2</v>
      </c>
      <c r="F20" s="35">
        <v>105</v>
      </c>
      <c r="G20" s="35">
        <v>734</v>
      </c>
      <c r="H20" s="35">
        <v>75</v>
      </c>
      <c r="I20" s="35">
        <v>287</v>
      </c>
      <c r="J20" s="35">
        <v>299</v>
      </c>
      <c r="K20" s="35">
        <v>607</v>
      </c>
      <c r="L20" s="35">
        <v>231</v>
      </c>
      <c r="M20" s="35">
        <v>12</v>
      </c>
      <c r="N20" s="35">
        <v>0</v>
      </c>
      <c r="O20">
        <f t="shared" si="4"/>
        <v>4472</v>
      </c>
    </row>
    <row r="21" spans="1:16" x14ac:dyDescent="0.25">
      <c r="A21" s="49" t="s">
        <v>8</v>
      </c>
      <c r="B21" s="50">
        <f>SUM(B14:B20)</f>
        <v>6696</v>
      </c>
      <c r="C21" s="50">
        <f t="shared" ref="C21" si="5">SUM(C14:C20)</f>
        <v>1179</v>
      </c>
      <c r="D21" s="50">
        <f t="shared" ref="D21" si="6">SUM(D14:D20)</f>
        <v>3719</v>
      </c>
      <c r="E21" s="50">
        <f t="shared" ref="E21" si="7">SUM(E14:E20)</f>
        <v>23</v>
      </c>
      <c r="F21" s="50">
        <f t="shared" ref="F21" si="8">SUM(F14:F20)</f>
        <v>595</v>
      </c>
      <c r="G21" s="50">
        <f t="shared" ref="G21" si="9">SUM(G14:G20)</f>
        <v>4100</v>
      </c>
      <c r="H21" s="50">
        <f t="shared" ref="H21" si="10">SUM(H14:H20)</f>
        <v>390</v>
      </c>
      <c r="I21" s="50">
        <f t="shared" ref="I21" si="11">SUM(I14:I20)</f>
        <v>1642</v>
      </c>
      <c r="J21" s="50">
        <f t="shared" ref="J21" si="12">SUM(J14:J20)</f>
        <v>2751</v>
      </c>
      <c r="K21" s="50">
        <f t="shared" ref="K21" si="13">SUM(K14:K20)</f>
        <v>3641</v>
      </c>
      <c r="L21" s="50">
        <f t="shared" ref="L21" si="14">SUM(L14:L20)</f>
        <v>1047</v>
      </c>
      <c r="M21" s="50">
        <f>SUM(M14:M20)</f>
        <v>146</v>
      </c>
      <c r="N21" s="50">
        <f t="shared" ref="N21" si="15">SUM(N14:N20)</f>
        <v>0</v>
      </c>
      <c r="O21" s="48">
        <f>SUM(B21:N21)</f>
        <v>25929</v>
      </c>
    </row>
    <row r="22" spans="1:16" x14ac:dyDescent="0.25">
      <c r="A22" s="51" t="s">
        <v>60</v>
      </c>
      <c r="B22" s="52">
        <f>B21/7</f>
        <v>956.57142857142856</v>
      </c>
      <c r="C22" s="52">
        <f t="shared" ref="C22" si="16">C21/7</f>
        <v>168.42857142857142</v>
      </c>
      <c r="D22" s="52">
        <f t="shared" ref="D22" si="17">D21/7</f>
        <v>531.28571428571433</v>
      </c>
      <c r="E22" s="52">
        <f t="shared" ref="E22" si="18">E21/7</f>
        <v>3.2857142857142856</v>
      </c>
      <c r="F22" s="52">
        <f t="shared" ref="F22" si="19">F21/7</f>
        <v>85</v>
      </c>
      <c r="G22" s="52">
        <f t="shared" ref="G22" si="20">G21/7</f>
        <v>585.71428571428567</v>
      </c>
      <c r="H22" s="52">
        <f t="shared" ref="H22" si="21">H21/7</f>
        <v>55.714285714285715</v>
      </c>
      <c r="I22" s="52">
        <f t="shared" ref="I22" si="22">I21/7</f>
        <v>234.57142857142858</v>
      </c>
      <c r="J22" s="52">
        <f t="shared" ref="J22" si="23">J21/7</f>
        <v>393</v>
      </c>
      <c r="K22" s="52">
        <f t="shared" ref="K22" si="24">K21/7</f>
        <v>520.14285714285711</v>
      </c>
      <c r="L22" s="52">
        <f t="shared" ref="L22" si="25">L21/7</f>
        <v>149.57142857142858</v>
      </c>
      <c r="M22" s="52">
        <f t="shared" ref="M22" si="26">M21/7</f>
        <v>20.857142857142858</v>
      </c>
      <c r="N22" s="52">
        <f t="shared" ref="N22" si="27">N21/7</f>
        <v>0</v>
      </c>
      <c r="O22" s="53">
        <f>SUM(B22:N22)</f>
        <v>3704.1428571428564</v>
      </c>
    </row>
    <row r="23" spans="1:16" x14ac:dyDescent="0.25">
      <c r="A23" s="55" t="s">
        <v>57</v>
      </c>
      <c r="B23" s="56">
        <f>B22/$O$22</f>
        <v>0.25824366539396049</v>
      </c>
      <c r="C23" s="56">
        <f t="shared" ref="C23:N23" si="28">C22/$O$22</f>
        <v>4.5470322804581749E-2</v>
      </c>
      <c r="D23" s="56">
        <f t="shared" si="28"/>
        <v>0.14343013614100047</v>
      </c>
      <c r="E23" s="56">
        <f t="shared" si="28"/>
        <v>8.8703767981796453E-4</v>
      </c>
      <c r="F23" s="56">
        <f t="shared" si="28"/>
        <v>2.2947279108334301E-2</v>
      </c>
      <c r="G23" s="56">
        <f t="shared" si="28"/>
        <v>0.15812410814146324</v>
      </c>
      <c r="H23" s="56">
        <f t="shared" si="28"/>
        <v>1.504107370126114E-2</v>
      </c>
      <c r="I23" s="56">
        <f t="shared" si="28"/>
        <v>6.3326776967873824E-2</v>
      </c>
      <c r="J23" s="56">
        <f t="shared" si="28"/>
        <v>0.10609741987735742</v>
      </c>
      <c r="K23" s="56">
        <f t="shared" si="28"/>
        <v>0.14042192140074822</v>
      </c>
      <c r="L23" s="56">
        <f t="shared" si="28"/>
        <v>4.0379497859539523E-2</v>
      </c>
      <c r="M23" s="56">
        <f t="shared" si="28"/>
        <v>5.630760924061862E-3</v>
      </c>
      <c r="N23" s="56">
        <f t="shared" si="28"/>
        <v>0</v>
      </c>
    </row>
    <row r="25" spans="1:16" ht="45" x14ac:dyDescent="0.25">
      <c r="A25" s="1"/>
      <c r="B25" s="8" t="s">
        <v>1</v>
      </c>
      <c r="C25" s="8" t="s">
        <v>2</v>
      </c>
      <c r="D25" s="8" t="s">
        <v>3</v>
      </c>
      <c r="E25" s="8" t="s">
        <v>13</v>
      </c>
      <c r="F25" s="8" t="s">
        <v>14</v>
      </c>
      <c r="G25" s="8" t="s">
        <v>15</v>
      </c>
      <c r="H25" s="8" t="s">
        <v>16</v>
      </c>
      <c r="I25" s="8" t="s">
        <v>17</v>
      </c>
      <c r="J25" s="8" t="s">
        <v>18</v>
      </c>
      <c r="K25" s="8" t="s">
        <v>4</v>
      </c>
      <c r="L25" s="8" t="s">
        <v>5</v>
      </c>
      <c r="M25" s="8" t="s">
        <v>6</v>
      </c>
      <c r="N25" s="8" t="s">
        <v>7</v>
      </c>
    </row>
    <row r="26" spans="1:16" x14ac:dyDescent="0.25">
      <c r="A26" s="1" t="s">
        <v>20</v>
      </c>
      <c r="B26" s="36">
        <f>B2+B14</f>
        <v>1809</v>
      </c>
      <c r="C26" s="36">
        <f t="shared" ref="C26:N26" si="29">C2+C14</f>
        <v>362</v>
      </c>
      <c r="D26" s="36">
        <f t="shared" si="29"/>
        <v>1140</v>
      </c>
      <c r="E26" s="36">
        <f t="shared" si="29"/>
        <v>6</v>
      </c>
      <c r="F26" s="36">
        <f t="shared" si="29"/>
        <v>132</v>
      </c>
      <c r="G26" s="36">
        <f t="shared" si="29"/>
        <v>952</v>
      </c>
      <c r="H26" s="36">
        <f t="shared" si="29"/>
        <v>132</v>
      </c>
      <c r="I26" s="36">
        <f t="shared" si="29"/>
        <v>356</v>
      </c>
      <c r="J26" s="36">
        <f t="shared" si="29"/>
        <v>886</v>
      </c>
      <c r="K26" s="36">
        <f t="shared" si="29"/>
        <v>1158</v>
      </c>
      <c r="L26" s="36">
        <f t="shared" si="29"/>
        <v>312</v>
      </c>
      <c r="M26" s="36">
        <f t="shared" si="29"/>
        <v>49</v>
      </c>
      <c r="N26" s="36">
        <f t="shared" si="29"/>
        <v>0</v>
      </c>
    </row>
    <row r="27" spans="1:16" x14ac:dyDescent="0.25">
      <c r="A27" s="1" t="s">
        <v>21</v>
      </c>
      <c r="B27" s="36">
        <f t="shared" ref="B27:N27" si="30">B3+B15</f>
        <v>2202</v>
      </c>
      <c r="C27" s="36">
        <f t="shared" si="30"/>
        <v>354</v>
      </c>
      <c r="D27" s="36">
        <f t="shared" si="30"/>
        <v>1136</v>
      </c>
      <c r="E27" s="36">
        <f t="shared" si="30"/>
        <v>2</v>
      </c>
      <c r="F27" s="36">
        <f t="shared" si="30"/>
        <v>164</v>
      </c>
      <c r="G27" s="36">
        <f t="shared" si="30"/>
        <v>1076</v>
      </c>
      <c r="H27" s="36">
        <f t="shared" si="30"/>
        <v>98</v>
      </c>
      <c r="I27" s="36">
        <f t="shared" si="30"/>
        <v>416</v>
      </c>
      <c r="J27" s="36">
        <f t="shared" si="30"/>
        <v>792</v>
      </c>
      <c r="K27" s="36">
        <f t="shared" si="30"/>
        <v>984</v>
      </c>
      <c r="L27" s="36">
        <f t="shared" si="30"/>
        <v>188</v>
      </c>
      <c r="M27" s="36">
        <f t="shared" si="30"/>
        <v>56</v>
      </c>
      <c r="N27" s="36">
        <f t="shared" si="30"/>
        <v>0</v>
      </c>
      <c r="P27" s="34">
        <f>365*25*27005</f>
        <v>246420625</v>
      </c>
    </row>
    <row r="28" spans="1:16" x14ac:dyDescent="0.25">
      <c r="A28" s="1" t="s">
        <v>22</v>
      </c>
      <c r="B28" s="36">
        <f t="shared" ref="B28:N28" si="31">B4+B16</f>
        <v>1895</v>
      </c>
      <c r="C28" s="36">
        <f t="shared" si="31"/>
        <v>338</v>
      </c>
      <c r="D28" s="36">
        <f t="shared" si="31"/>
        <v>1070</v>
      </c>
      <c r="E28" s="36">
        <f t="shared" si="31"/>
        <v>12</v>
      </c>
      <c r="F28" s="36">
        <f t="shared" si="31"/>
        <v>204</v>
      </c>
      <c r="G28" s="36">
        <f t="shared" si="31"/>
        <v>1156</v>
      </c>
      <c r="H28" s="36">
        <f t="shared" si="31"/>
        <v>90</v>
      </c>
      <c r="I28" s="36">
        <f t="shared" si="31"/>
        <v>438</v>
      </c>
      <c r="J28" s="36">
        <f t="shared" si="31"/>
        <v>703</v>
      </c>
      <c r="K28" s="36">
        <f t="shared" si="31"/>
        <v>658</v>
      </c>
      <c r="L28" s="36">
        <f t="shared" si="31"/>
        <v>230</v>
      </c>
      <c r="M28" s="36">
        <f t="shared" si="31"/>
        <v>44</v>
      </c>
      <c r="N28" s="36">
        <f t="shared" si="31"/>
        <v>0</v>
      </c>
    </row>
    <row r="29" spans="1:16" x14ac:dyDescent="0.25">
      <c r="A29" s="1" t="s">
        <v>23</v>
      </c>
      <c r="B29" s="36">
        <f t="shared" ref="B29:N29" si="32">B5+B17</f>
        <v>1569</v>
      </c>
      <c r="C29" s="36">
        <f t="shared" si="32"/>
        <v>280</v>
      </c>
      <c r="D29" s="36">
        <f t="shared" si="32"/>
        <v>998</v>
      </c>
      <c r="E29" s="36">
        <f t="shared" si="32"/>
        <v>4</v>
      </c>
      <c r="F29" s="36">
        <f t="shared" si="32"/>
        <v>134</v>
      </c>
      <c r="G29" s="36">
        <f t="shared" si="32"/>
        <v>1054</v>
      </c>
      <c r="H29" s="36">
        <f t="shared" si="32"/>
        <v>74</v>
      </c>
      <c r="I29" s="36">
        <f t="shared" si="32"/>
        <v>482</v>
      </c>
      <c r="J29" s="36">
        <f t="shared" si="32"/>
        <v>759</v>
      </c>
      <c r="K29" s="36">
        <f t="shared" si="32"/>
        <v>866</v>
      </c>
      <c r="L29" s="36">
        <f t="shared" si="32"/>
        <v>188</v>
      </c>
      <c r="M29" s="36">
        <f t="shared" si="32"/>
        <v>33</v>
      </c>
      <c r="N29" s="36">
        <f t="shared" si="32"/>
        <v>0</v>
      </c>
    </row>
    <row r="30" spans="1:16" x14ac:dyDescent="0.25">
      <c r="A30" s="1" t="s">
        <v>24</v>
      </c>
      <c r="B30" s="36">
        <f t="shared" ref="B30:N30" si="33">B6+B18</f>
        <v>1867</v>
      </c>
      <c r="C30" s="36">
        <f t="shared" si="33"/>
        <v>352</v>
      </c>
      <c r="D30" s="36">
        <f t="shared" si="33"/>
        <v>1018</v>
      </c>
      <c r="E30" s="36">
        <f t="shared" si="33"/>
        <v>6</v>
      </c>
      <c r="F30" s="36">
        <f t="shared" si="33"/>
        <v>162</v>
      </c>
      <c r="G30" s="36">
        <f t="shared" si="33"/>
        <v>1242</v>
      </c>
      <c r="H30" s="36">
        <f t="shared" si="33"/>
        <v>124</v>
      </c>
      <c r="I30" s="36">
        <f t="shared" si="33"/>
        <v>540</v>
      </c>
      <c r="J30" s="36">
        <f t="shared" si="33"/>
        <v>774</v>
      </c>
      <c r="K30" s="36">
        <f t="shared" si="33"/>
        <v>1210</v>
      </c>
      <c r="L30" s="36">
        <f t="shared" si="33"/>
        <v>392</v>
      </c>
      <c r="M30" s="36">
        <f t="shared" si="33"/>
        <v>34</v>
      </c>
      <c r="N30" s="36">
        <f t="shared" si="33"/>
        <v>0</v>
      </c>
    </row>
    <row r="31" spans="1:16" x14ac:dyDescent="0.25">
      <c r="A31" s="1" t="s">
        <v>25</v>
      </c>
      <c r="B31" s="36">
        <f t="shared" ref="B31:N31" si="34">B7+B19</f>
        <v>1837</v>
      </c>
      <c r="C31" s="36">
        <f t="shared" si="34"/>
        <v>336</v>
      </c>
      <c r="D31" s="36">
        <f t="shared" si="34"/>
        <v>1018</v>
      </c>
      <c r="E31" s="36">
        <f t="shared" si="34"/>
        <v>12</v>
      </c>
      <c r="F31" s="36">
        <f t="shared" si="34"/>
        <v>184</v>
      </c>
      <c r="G31" s="36">
        <f t="shared" si="34"/>
        <v>1252</v>
      </c>
      <c r="H31" s="36">
        <f t="shared" si="34"/>
        <v>112</v>
      </c>
      <c r="I31" s="36">
        <f t="shared" si="34"/>
        <v>509</v>
      </c>
      <c r="J31" s="36">
        <f t="shared" si="34"/>
        <v>813</v>
      </c>
      <c r="K31" s="36">
        <f t="shared" si="34"/>
        <v>1192</v>
      </c>
      <c r="L31" s="36">
        <f t="shared" si="34"/>
        <v>322</v>
      </c>
      <c r="M31" s="36">
        <f t="shared" si="34"/>
        <v>39</v>
      </c>
      <c r="N31" s="36">
        <f t="shared" si="34"/>
        <v>0</v>
      </c>
    </row>
    <row r="32" spans="1:16" x14ac:dyDescent="0.25">
      <c r="A32" s="1" t="s">
        <v>26</v>
      </c>
      <c r="B32" s="36">
        <f t="shared" ref="B32:N32" si="35">B8+B20</f>
        <v>2213</v>
      </c>
      <c r="C32" s="36">
        <f t="shared" si="35"/>
        <v>336</v>
      </c>
      <c r="D32" s="36">
        <f t="shared" si="35"/>
        <v>1058</v>
      </c>
      <c r="E32" s="36">
        <f t="shared" si="35"/>
        <v>4</v>
      </c>
      <c r="F32" s="36">
        <f t="shared" si="35"/>
        <v>210</v>
      </c>
      <c r="G32" s="36">
        <f t="shared" si="35"/>
        <v>1468</v>
      </c>
      <c r="H32" s="36">
        <f t="shared" si="35"/>
        <v>150</v>
      </c>
      <c r="I32" s="36">
        <f t="shared" si="35"/>
        <v>543</v>
      </c>
      <c r="J32" s="36">
        <f t="shared" si="35"/>
        <v>775</v>
      </c>
      <c r="K32" s="36">
        <f t="shared" si="35"/>
        <v>1214</v>
      </c>
      <c r="L32" s="36">
        <f t="shared" si="35"/>
        <v>462</v>
      </c>
      <c r="M32" s="36">
        <f t="shared" si="35"/>
        <v>37</v>
      </c>
      <c r="N32" s="36">
        <f t="shared" si="35"/>
        <v>0</v>
      </c>
    </row>
    <row r="33" spans="1:15" x14ac:dyDescent="0.25">
      <c r="A33" s="49" t="s">
        <v>8</v>
      </c>
      <c r="B33" s="50">
        <f>SUM(B26:B32)</f>
        <v>13392</v>
      </c>
      <c r="C33" s="50">
        <f t="shared" ref="C33" si="36">SUM(C26:C32)</f>
        <v>2358</v>
      </c>
      <c r="D33" s="50">
        <f t="shared" ref="D33" si="37">SUM(D26:D32)</f>
        <v>7438</v>
      </c>
      <c r="E33" s="50">
        <f t="shared" ref="E33" si="38">SUM(E26:E32)</f>
        <v>46</v>
      </c>
      <c r="F33" s="50">
        <f t="shared" ref="F33" si="39">SUM(F26:F32)</f>
        <v>1190</v>
      </c>
      <c r="G33" s="50">
        <f t="shared" ref="G33" si="40">SUM(G26:G32)</f>
        <v>8200</v>
      </c>
      <c r="H33" s="50">
        <f t="shared" ref="H33" si="41">SUM(H26:H32)</f>
        <v>780</v>
      </c>
      <c r="I33" s="50">
        <f t="shared" ref="I33" si="42">SUM(I26:I32)</f>
        <v>3284</v>
      </c>
      <c r="J33" s="50">
        <f t="shared" ref="J33" si="43">SUM(J26:J32)</f>
        <v>5502</v>
      </c>
      <c r="K33" s="50">
        <f t="shared" ref="K33" si="44">SUM(K26:K32)</f>
        <v>7282</v>
      </c>
      <c r="L33" s="50">
        <f t="shared" ref="L33" si="45">SUM(L26:L32)</f>
        <v>2094</v>
      </c>
      <c r="M33" s="50">
        <f>SUM(M26:M32)</f>
        <v>292</v>
      </c>
      <c r="N33" s="50">
        <f t="shared" ref="N33" si="46">SUM(N26:N32)</f>
        <v>0</v>
      </c>
      <c r="O33" s="48">
        <f>SUM(B33:N33)</f>
        <v>51858</v>
      </c>
    </row>
    <row r="34" spans="1:15" x14ac:dyDescent="0.25">
      <c r="A34" s="51" t="s">
        <v>60</v>
      </c>
      <c r="B34" s="52">
        <f>B33/7</f>
        <v>1913.1428571428571</v>
      </c>
      <c r="C34" s="52">
        <f t="shared" ref="C34" si="47">C33/7</f>
        <v>336.85714285714283</v>
      </c>
      <c r="D34" s="52">
        <f t="shared" ref="D34" si="48">D33/7</f>
        <v>1062.5714285714287</v>
      </c>
      <c r="E34" s="52">
        <f t="shared" ref="E34" si="49">E33/7</f>
        <v>6.5714285714285712</v>
      </c>
      <c r="F34" s="52">
        <f t="shared" ref="F34" si="50">F33/7</f>
        <v>170</v>
      </c>
      <c r="G34" s="52">
        <f t="shared" ref="G34" si="51">G33/7</f>
        <v>1171.4285714285713</v>
      </c>
      <c r="H34" s="52">
        <f t="shared" ref="H34" si="52">H33/7</f>
        <v>111.42857142857143</v>
      </c>
      <c r="I34" s="52">
        <f t="shared" ref="I34" si="53">I33/7</f>
        <v>469.14285714285717</v>
      </c>
      <c r="J34" s="52">
        <f t="shared" ref="J34" si="54">J33/7</f>
        <v>786</v>
      </c>
      <c r="K34" s="52">
        <f t="shared" ref="K34" si="55">K33/7</f>
        <v>1040.2857142857142</v>
      </c>
      <c r="L34" s="52">
        <f t="shared" ref="L34" si="56">L33/7</f>
        <v>299.14285714285717</v>
      </c>
      <c r="M34" s="52">
        <f t="shared" ref="M34" si="57">M33/7</f>
        <v>41.714285714285715</v>
      </c>
      <c r="N34" s="52">
        <f t="shared" ref="N34" si="58">N33/7</f>
        <v>0</v>
      </c>
      <c r="O34" s="53">
        <f>SUM(B34:N34)</f>
        <v>7408.2857142857129</v>
      </c>
    </row>
    <row r="35" spans="1:15" x14ac:dyDescent="0.25">
      <c r="A35" s="55" t="s">
        <v>57</v>
      </c>
      <c r="B35" s="56">
        <f>B34/$O$34</f>
        <v>0.25824366539396049</v>
      </c>
      <c r="C35" s="56">
        <f t="shared" ref="C35:N35" si="59">C34/$O$34</f>
        <v>4.5470322804581749E-2</v>
      </c>
      <c r="D35" s="56">
        <f t="shared" si="59"/>
        <v>0.14343013614100047</v>
      </c>
      <c r="E35" s="56">
        <f t="shared" si="59"/>
        <v>8.8703767981796453E-4</v>
      </c>
      <c r="F35" s="56">
        <f t="shared" si="59"/>
        <v>2.2947279108334301E-2</v>
      </c>
      <c r="G35" s="56">
        <f t="shared" si="59"/>
        <v>0.15812410814146324</v>
      </c>
      <c r="H35" s="56">
        <f t="shared" si="59"/>
        <v>1.504107370126114E-2</v>
      </c>
      <c r="I35" s="56">
        <f t="shared" si="59"/>
        <v>6.3326776967873824E-2</v>
      </c>
      <c r="J35" s="56">
        <f t="shared" si="59"/>
        <v>0.10609741987735742</v>
      </c>
      <c r="K35" s="56">
        <f t="shared" si="59"/>
        <v>0.14042192140074822</v>
      </c>
      <c r="L35" s="56">
        <f t="shared" si="59"/>
        <v>4.0379497859539523E-2</v>
      </c>
      <c r="M35" s="56">
        <f t="shared" si="59"/>
        <v>5.630760924061862E-3</v>
      </c>
      <c r="N35" s="56">
        <f t="shared" si="59"/>
        <v>0</v>
      </c>
    </row>
  </sheetData>
  <sortState xmlns:xlrd2="http://schemas.microsoft.com/office/spreadsheetml/2017/richdata2" ref="J12:J18">
    <sortCondition descending="1" ref="J12:J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zoomScale="130" zoomScaleNormal="130" workbookViewId="0">
      <selection activeCell="H6" sqref="H6"/>
    </sheetView>
  </sheetViews>
  <sheetFormatPr baseColWidth="10" defaultRowHeight="15" x14ac:dyDescent="0.25"/>
  <cols>
    <col min="8" max="8" width="25.42578125" bestFit="1" customWidth="1"/>
    <col min="11" max="11" width="19" bestFit="1" customWidth="1"/>
  </cols>
  <sheetData>
    <row r="1" spans="1:11" ht="15.75" thickBot="1" x14ac:dyDescent="0.3">
      <c r="A1" s="9" t="s">
        <v>27</v>
      </c>
      <c r="B1" s="10" t="s">
        <v>28</v>
      </c>
    </row>
    <row r="2" spans="1:11" ht="15.75" thickBot="1" x14ac:dyDescent="0.3">
      <c r="A2" s="11">
        <v>2016</v>
      </c>
      <c r="B2" s="12">
        <v>150</v>
      </c>
    </row>
    <row r="3" spans="1:11" ht="15.75" thickBot="1" x14ac:dyDescent="0.3">
      <c r="A3" s="11">
        <v>2017</v>
      </c>
      <c r="B3" s="12">
        <v>350</v>
      </c>
    </row>
    <row r="4" spans="1:11" ht="15.75" thickBot="1" x14ac:dyDescent="0.3">
      <c r="A4" s="11">
        <v>2018</v>
      </c>
      <c r="B4" s="12">
        <v>388</v>
      </c>
    </row>
    <row r="5" spans="1:11" ht="29.25" thickBot="1" x14ac:dyDescent="0.5">
      <c r="A5" s="11">
        <v>2019</v>
      </c>
      <c r="B5" s="12">
        <v>390</v>
      </c>
      <c r="H5" s="26">
        <f>((B11/B2)^(1/9))-1</f>
        <v>0.1598996025643411</v>
      </c>
      <c r="I5" s="25"/>
    </row>
    <row r="6" spans="1:11" ht="29.25" thickBot="1" x14ac:dyDescent="0.5">
      <c r="A6" s="11">
        <v>2020</v>
      </c>
      <c r="B6" s="12">
        <v>400</v>
      </c>
      <c r="H6" s="25" t="s">
        <v>54</v>
      </c>
      <c r="I6" s="25"/>
      <c r="K6" s="27">
        <v>3.5000000000000003E-2</v>
      </c>
    </row>
    <row r="7" spans="1:11" ht="29.25" thickBot="1" x14ac:dyDescent="0.5">
      <c r="A7" s="11">
        <v>2021</v>
      </c>
      <c r="B7" s="12">
        <v>600</v>
      </c>
      <c r="H7" s="25" t="s">
        <v>55</v>
      </c>
      <c r="K7" s="27">
        <v>5.8999999999999997E-2</v>
      </c>
    </row>
    <row r="8" spans="1:11" ht="29.25" thickBot="1" x14ac:dyDescent="0.5">
      <c r="A8" s="11">
        <v>2022</v>
      </c>
      <c r="B8" s="12">
        <v>460</v>
      </c>
      <c r="H8" s="25" t="s">
        <v>56</v>
      </c>
      <c r="K8" s="27">
        <v>2.5000000000000001E-2</v>
      </c>
    </row>
    <row r="9" spans="1:11" ht="15.75" thickBot="1" x14ac:dyDescent="0.3">
      <c r="A9" s="11">
        <v>2023</v>
      </c>
      <c r="B9" s="12">
        <v>520</v>
      </c>
    </row>
    <row r="10" spans="1:11" ht="15.75" thickBot="1" x14ac:dyDescent="0.3">
      <c r="A10" s="11">
        <v>2024</v>
      </c>
      <c r="B10" s="12">
        <v>230</v>
      </c>
    </row>
    <row r="11" spans="1:11" ht="39.75" thickBot="1" x14ac:dyDescent="0.65">
      <c r="A11" s="11">
        <v>2025</v>
      </c>
      <c r="B11" s="13">
        <v>570</v>
      </c>
      <c r="I11" s="28" t="s">
        <v>53</v>
      </c>
      <c r="J11" s="28"/>
      <c r="K11" s="29">
        <f>K6+K7+K8+H5</f>
        <v>0.2788996025643411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tabSelected="1" zoomScale="85" zoomScaleNormal="85" workbookViewId="0">
      <selection activeCell="O11" sqref="O11"/>
    </sheetView>
  </sheetViews>
  <sheetFormatPr baseColWidth="10" defaultRowHeight="15" x14ac:dyDescent="0.25"/>
  <cols>
    <col min="1" max="1" width="16.28515625" bestFit="1" customWidth="1"/>
    <col min="2" max="2" width="19.5703125" customWidth="1"/>
    <col min="3" max="3" width="14.28515625" customWidth="1"/>
    <col min="5" max="5" width="15.28515625" customWidth="1"/>
    <col min="7" max="7" width="17.140625" customWidth="1"/>
    <col min="13" max="13" width="15.28515625" customWidth="1"/>
  </cols>
  <sheetData>
    <row r="1" spans="1:15" ht="60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</row>
    <row r="2" spans="1:15" ht="21" x14ac:dyDescent="0.35">
      <c r="A2" s="1" t="s">
        <v>9</v>
      </c>
      <c r="B2" s="2">
        <v>14</v>
      </c>
      <c r="C2" s="2">
        <v>3</v>
      </c>
      <c r="D2" s="2">
        <v>16</v>
      </c>
      <c r="E2" s="2">
        <v>0</v>
      </c>
      <c r="F2" s="2">
        <v>2</v>
      </c>
      <c r="G2" s="2">
        <v>12</v>
      </c>
      <c r="H2" s="2">
        <v>3</v>
      </c>
      <c r="I2" s="2">
        <v>6</v>
      </c>
      <c r="J2" s="2">
        <v>4</v>
      </c>
      <c r="K2" s="2">
        <v>10</v>
      </c>
      <c r="L2" s="2">
        <v>8</v>
      </c>
      <c r="M2" s="2">
        <v>3</v>
      </c>
      <c r="N2" s="2">
        <v>0</v>
      </c>
      <c r="O2" s="19">
        <f>SUM(B2:N2)</f>
        <v>81</v>
      </c>
    </row>
    <row r="3" spans="1:15" ht="21" x14ac:dyDescent="0.35">
      <c r="A3" s="1" t="s">
        <v>10</v>
      </c>
      <c r="B3" s="2">
        <v>21</v>
      </c>
      <c r="C3" s="2">
        <v>8</v>
      </c>
      <c r="D3" s="2">
        <v>13</v>
      </c>
      <c r="E3" s="2">
        <v>0</v>
      </c>
      <c r="F3" s="2">
        <v>1</v>
      </c>
      <c r="G3" s="2">
        <v>16</v>
      </c>
      <c r="H3" s="2">
        <v>1</v>
      </c>
      <c r="I3" s="2">
        <v>6</v>
      </c>
      <c r="J3" s="2">
        <v>5</v>
      </c>
      <c r="K3" s="2">
        <v>12</v>
      </c>
      <c r="L3" s="2">
        <v>8</v>
      </c>
      <c r="M3" s="2">
        <v>0</v>
      </c>
      <c r="N3" s="2">
        <v>0</v>
      </c>
      <c r="O3" s="19">
        <f>SUM(B3:N3)</f>
        <v>91</v>
      </c>
    </row>
    <row r="4" spans="1:15" ht="21" x14ac:dyDescent="0.35">
      <c r="A4" s="1" t="s">
        <v>11</v>
      </c>
      <c r="B4" s="2">
        <v>18</v>
      </c>
      <c r="C4" s="2">
        <v>5</v>
      </c>
      <c r="D4" s="2">
        <v>11</v>
      </c>
      <c r="E4" s="2">
        <v>0</v>
      </c>
      <c r="F4" s="2">
        <v>2</v>
      </c>
      <c r="G4" s="2">
        <v>7</v>
      </c>
      <c r="H4" s="2">
        <v>2</v>
      </c>
      <c r="I4" s="2">
        <v>5</v>
      </c>
      <c r="J4" s="2">
        <v>4</v>
      </c>
      <c r="K4" s="2">
        <v>8</v>
      </c>
      <c r="L4" s="2">
        <v>3</v>
      </c>
      <c r="M4" s="2">
        <v>1</v>
      </c>
      <c r="N4" s="2">
        <v>0</v>
      </c>
      <c r="O4" s="19">
        <f>SUM(B4:N4)</f>
        <v>66</v>
      </c>
    </row>
    <row r="5" spans="1:15" ht="21" x14ac:dyDescent="0.35">
      <c r="A5" s="1" t="s">
        <v>12</v>
      </c>
      <c r="B5" s="2">
        <v>14</v>
      </c>
      <c r="C5" s="2">
        <v>3</v>
      </c>
      <c r="D5" s="2">
        <v>7</v>
      </c>
      <c r="E5" s="2">
        <v>0</v>
      </c>
      <c r="F5" s="2">
        <v>2</v>
      </c>
      <c r="G5" s="2">
        <v>5</v>
      </c>
      <c r="H5" s="2">
        <v>1</v>
      </c>
      <c r="I5" s="2">
        <v>2</v>
      </c>
      <c r="J5" s="2">
        <v>4</v>
      </c>
      <c r="K5" s="2">
        <v>7</v>
      </c>
      <c r="L5" s="2">
        <v>3</v>
      </c>
      <c r="M5" s="2">
        <v>1</v>
      </c>
      <c r="N5" s="2">
        <v>0</v>
      </c>
      <c r="O5" s="19">
        <f>SUM(B5:N5)</f>
        <v>49</v>
      </c>
    </row>
    <row r="6" spans="1:15" ht="21" x14ac:dyDescent="0.35">
      <c r="A6" s="63" t="s">
        <v>8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20">
        <f>SUM(O2:O5)</f>
        <v>287</v>
      </c>
    </row>
    <row r="11" spans="1:15" ht="31.5" x14ac:dyDescent="0.5">
      <c r="H11" s="22"/>
      <c r="I11" s="57">
        <f>(O6)/(4*O3)</f>
        <v>0.78846153846153844</v>
      </c>
    </row>
  </sheetData>
  <mergeCells count="1">
    <mergeCell ref="A6:N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topLeftCell="H1" zoomScale="205" zoomScaleNormal="205" workbookViewId="0">
      <selection activeCell="O6" sqref="O6"/>
    </sheetView>
  </sheetViews>
  <sheetFormatPr baseColWidth="10" defaultRowHeight="15" x14ac:dyDescent="0.25"/>
  <cols>
    <col min="1" max="1" width="21.5703125" bestFit="1" customWidth="1"/>
    <col min="2" max="2" width="9.42578125" bestFit="1" customWidth="1"/>
    <col min="3" max="3" width="8.85546875" bestFit="1" customWidth="1"/>
    <col min="4" max="4" width="7.42578125" bestFit="1" customWidth="1"/>
    <col min="5" max="5" width="8.85546875" bestFit="1" customWidth="1"/>
    <col min="6" max="6" width="9.28515625" bestFit="1" customWidth="1"/>
    <col min="8" max="8" width="9.28515625" bestFit="1" customWidth="1"/>
    <col min="9" max="10" width="11.140625" bestFit="1" customWidth="1"/>
    <col min="11" max="11" width="11.28515625" bestFit="1" customWidth="1"/>
    <col min="12" max="12" width="8.7109375" bestFit="1" customWidth="1"/>
    <col min="13" max="13" width="9.28515625" bestFit="1" customWidth="1"/>
  </cols>
  <sheetData>
    <row r="1" spans="1:15" s="38" customFormat="1" ht="24.75" x14ac:dyDescent="0.15">
      <c r="A1" s="3" t="s">
        <v>19</v>
      </c>
      <c r="B1" s="37" t="s">
        <v>1</v>
      </c>
      <c r="C1" s="37" t="s">
        <v>2</v>
      </c>
      <c r="D1" s="37" t="s">
        <v>3</v>
      </c>
      <c r="E1" s="37" t="s">
        <v>13</v>
      </c>
      <c r="F1" s="37" t="s">
        <v>14</v>
      </c>
      <c r="G1" s="37" t="s">
        <v>15</v>
      </c>
      <c r="H1" s="37" t="s">
        <v>16</v>
      </c>
      <c r="I1" s="37" t="s">
        <v>17</v>
      </c>
      <c r="J1" s="37" t="s">
        <v>18</v>
      </c>
      <c r="K1" s="37" t="s">
        <v>4</v>
      </c>
      <c r="L1" s="37" t="s">
        <v>5</v>
      </c>
      <c r="M1" s="37" t="s">
        <v>7</v>
      </c>
    </row>
    <row r="2" spans="1:15" x14ac:dyDescent="0.25">
      <c r="A2" s="4">
        <v>1</v>
      </c>
      <c r="B2" s="7">
        <v>50</v>
      </c>
      <c r="C2" s="7">
        <v>53</v>
      </c>
      <c r="D2" s="7">
        <v>50</v>
      </c>
      <c r="E2" s="7">
        <v>32</v>
      </c>
      <c r="F2" s="7">
        <v>20</v>
      </c>
      <c r="G2" s="7">
        <v>58</v>
      </c>
      <c r="H2" s="7">
        <v>32</v>
      </c>
      <c r="I2" s="7">
        <v>20</v>
      </c>
      <c r="J2" s="7">
        <v>45</v>
      </c>
      <c r="K2" s="7">
        <v>20</v>
      </c>
      <c r="L2" s="7">
        <v>32</v>
      </c>
      <c r="M2" s="7">
        <v>45</v>
      </c>
      <c r="O2" t="s">
        <v>61</v>
      </c>
    </row>
    <row r="3" spans="1:15" x14ac:dyDescent="0.25">
      <c r="A3" s="5">
        <v>2</v>
      </c>
      <c r="B3" s="7">
        <v>59</v>
      </c>
      <c r="C3" s="7">
        <v>58</v>
      </c>
      <c r="D3" s="7">
        <v>63</v>
      </c>
      <c r="E3" s="7">
        <v>39</v>
      </c>
      <c r="F3" s="7">
        <v>33</v>
      </c>
      <c r="G3" s="7">
        <v>60</v>
      </c>
      <c r="H3" s="7">
        <v>39</v>
      </c>
      <c r="I3" s="7">
        <v>33</v>
      </c>
      <c r="J3" s="7">
        <v>55</v>
      </c>
      <c r="K3" s="7">
        <v>33</v>
      </c>
      <c r="L3" s="7">
        <v>39</v>
      </c>
      <c r="M3" s="7">
        <v>55</v>
      </c>
      <c r="O3" t="s">
        <v>62</v>
      </c>
    </row>
    <row r="4" spans="1:15" x14ac:dyDescent="0.25">
      <c r="A4" s="5">
        <v>3</v>
      </c>
      <c r="B4" s="7">
        <v>61</v>
      </c>
      <c r="C4" s="7">
        <v>60</v>
      </c>
      <c r="D4" s="7">
        <v>65</v>
      </c>
      <c r="E4" s="7">
        <v>40</v>
      </c>
      <c r="F4" s="7">
        <v>37</v>
      </c>
      <c r="G4" s="7">
        <v>65</v>
      </c>
      <c r="H4" s="7">
        <v>40</v>
      </c>
      <c r="I4" s="7">
        <v>37</v>
      </c>
      <c r="J4" s="7">
        <v>58</v>
      </c>
      <c r="K4" s="7">
        <v>37</v>
      </c>
      <c r="L4" s="7">
        <v>40</v>
      </c>
      <c r="M4" s="7">
        <v>58</v>
      </c>
      <c r="O4" t="s">
        <v>63</v>
      </c>
    </row>
    <row r="5" spans="1:15" x14ac:dyDescent="0.25">
      <c r="A5" s="58">
        <v>4</v>
      </c>
      <c r="B5" s="59">
        <v>62</v>
      </c>
      <c r="C5" s="59">
        <v>62</v>
      </c>
      <c r="D5" s="59">
        <v>75</v>
      </c>
      <c r="E5" s="59">
        <v>42</v>
      </c>
      <c r="F5" s="59">
        <v>39</v>
      </c>
      <c r="G5" s="59">
        <v>75</v>
      </c>
      <c r="H5" s="59">
        <v>42</v>
      </c>
      <c r="I5" s="59">
        <v>39</v>
      </c>
      <c r="J5" s="59">
        <v>65</v>
      </c>
      <c r="K5" s="59">
        <v>39</v>
      </c>
      <c r="L5" s="59">
        <v>42</v>
      </c>
      <c r="M5" s="59">
        <v>65</v>
      </c>
      <c r="O5" t="s">
        <v>64</v>
      </c>
    </row>
    <row r="6" spans="1:15" x14ac:dyDescent="0.25">
      <c r="A6" s="4">
        <v>5</v>
      </c>
      <c r="B6" s="7">
        <v>62</v>
      </c>
      <c r="C6" s="7">
        <v>62</v>
      </c>
      <c r="D6" s="7">
        <v>80</v>
      </c>
      <c r="E6" s="7">
        <v>46</v>
      </c>
      <c r="F6" s="7">
        <v>41</v>
      </c>
      <c r="G6" s="7">
        <v>80</v>
      </c>
      <c r="H6" s="7">
        <v>46</v>
      </c>
      <c r="I6" s="7">
        <v>41</v>
      </c>
      <c r="J6" s="7">
        <v>78</v>
      </c>
      <c r="K6" s="7">
        <v>41</v>
      </c>
      <c r="L6" s="7">
        <v>46</v>
      </c>
      <c r="M6" s="7">
        <v>78</v>
      </c>
    </row>
    <row r="7" spans="1:15" x14ac:dyDescent="0.25">
      <c r="A7" s="1" t="s">
        <v>51</v>
      </c>
      <c r="B7" s="61">
        <f>(SUM(B2:B6))/5</f>
        <v>58.8</v>
      </c>
      <c r="C7" s="61">
        <f t="shared" ref="C7:M7" si="0">(SUM(C2:C6))/5</f>
        <v>59</v>
      </c>
      <c r="D7" s="61">
        <f t="shared" si="0"/>
        <v>66.599999999999994</v>
      </c>
      <c r="E7" s="61">
        <f t="shared" si="0"/>
        <v>39.799999999999997</v>
      </c>
      <c r="F7" s="61">
        <f t="shared" si="0"/>
        <v>34</v>
      </c>
      <c r="G7" s="61">
        <f t="shared" si="0"/>
        <v>67.599999999999994</v>
      </c>
      <c r="H7" s="60">
        <f t="shared" si="0"/>
        <v>39.799999999999997</v>
      </c>
      <c r="I7" s="60">
        <f t="shared" si="0"/>
        <v>34</v>
      </c>
      <c r="J7" s="60">
        <f t="shared" si="0"/>
        <v>60.2</v>
      </c>
      <c r="K7" s="60">
        <f t="shared" si="0"/>
        <v>34</v>
      </c>
      <c r="L7" s="60">
        <f t="shared" si="0"/>
        <v>39.799999999999997</v>
      </c>
      <c r="M7" s="60">
        <f t="shared" si="0"/>
        <v>60.2</v>
      </c>
    </row>
    <row r="8" spans="1:15" ht="15.75" x14ac:dyDescent="0.25">
      <c r="A8" s="1" t="s">
        <v>52</v>
      </c>
      <c r="B8" s="62">
        <v>62</v>
      </c>
      <c r="C8" s="62">
        <v>62</v>
      </c>
      <c r="D8" s="62">
        <v>75</v>
      </c>
      <c r="E8" s="62">
        <v>42</v>
      </c>
      <c r="F8" s="62">
        <v>39</v>
      </c>
      <c r="G8" s="62">
        <v>75</v>
      </c>
      <c r="H8" s="62">
        <v>42</v>
      </c>
      <c r="I8" s="62">
        <v>39</v>
      </c>
      <c r="J8" s="62">
        <v>65</v>
      </c>
      <c r="K8" s="62">
        <v>39</v>
      </c>
      <c r="L8" s="62">
        <v>42</v>
      </c>
      <c r="M8" s="62">
        <v>65</v>
      </c>
    </row>
    <row r="9" spans="1:15" ht="21" x14ac:dyDescent="0.25">
      <c r="B9" s="6"/>
      <c r="C9" s="6"/>
      <c r="D9" s="6"/>
      <c r="E9" s="24"/>
      <c r="F9" s="6"/>
    </row>
    <row r="10" spans="1:15" ht="21" x14ac:dyDescent="0.25">
      <c r="B10" s="6"/>
      <c r="C10" s="6"/>
      <c r="D10" s="24">
        <v>30</v>
      </c>
      <c r="E10" s="24">
        <v>60</v>
      </c>
      <c r="F10" s="6"/>
    </row>
    <row r="11" spans="1:15" x14ac:dyDescent="0.25">
      <c r="B11" s="6"/>
      <c r="C11" s="6"/>
      <c r="D11" s="6"/>
      <c r="E11" s="6"/>
      <c r="F11" s="6"/>
    </row>
    <row r="12" spans="1:15" x14ac:dyDescent="0.25">
      <c r="B12" s="6"/>
      <c r="C12" s="6"/>
      <c r="D12" s="6"/>
      <c r="E12" s="6"/>
      <c r="F12" s="6"/>
    </row>
    <row r="14" spans="1:15" x14ac:dyDescent="0.25">
      <c r="G14" t="s">
        <v>50</v>
      </c>
    </row>
  </sheetData>
  <sortState xmlns:xlrd2="http://schemas.microsoft.com/office/spreadsheetml/2017/richdata2" ref="M2:M6">
    <sortCondition ref="M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I4:N16"/>
  <sheetViews>
    <sheetView workbookViewId="0">
      <selection activeCell="I4" sqref="I4"/>
    </sheetView>
  </sheetViews>
  <sheetFormatPr baseColWidth="10" defaultRowHeight="15" x14ac:dyDescent="0.25"/>
  <cols>
    <col min="13" max="13" width="31.42578125" customWidth="1"/>
    <col min="14" max="14" width="17.5703125" customWidth="1"/>
  </cols>
  <sheetData>
    <row r="4" spans="9:14" x14ac:dyDescent="0.25">
      <c r="I4">
        <f>(7/7.77)^4.32</f>
        <v>0.63709578474307194</v>
      </c>
    </row>
    <row r="5" spans="9:14" x14ac:dyDescent="0.25">
      <c r="I5" s="18"/>
    </row>
    <row r="9" spans="9:14" x14ac:dyDescent="0.25">
      <c r="I9">
        <f>(11/8.17)^4.32</f>
        <v>3.6142410618113718</v>
      </c>
    </row>
    <row r="10" spans="9:14" ht="15.75" thickBot="1" x14ac:dyDescent="0.3"/>
    <row r="11" spans="9:14" x14ac:dyDescent="0.25">
      <c r="M11" s="64" t="s">
        <v>44</v>
      </c>
      <c r="N11" s="64" t="s">
        <v>45</v>
      </c>
    </row>
    <row r="12" spans="9:14" ht="15.75" thickBot="1" x14ac:dyDescent="0.3">
      <c r="M12" s="65"/>
      <c r="N12" s="65"/>
    </row>
    <row r="13" spans="9:14" ht="24" thickTop="1" thickBot="1" x14ac:dyDescent="0.3">
      <c r="I13">
        <f>(17/15.08)^4.14</f>
        <v>1.6423926036156347</v>
      </c>
      <c r="M13" s="14" t="s">
        <v>46</v>
      </c>
      <c r="N13" s="15">
        <v>7</v>
      </c>
    </row>
    <row r="14" spans="9:14" ht="15.75" thickBot="1" x14ac:dyDescent="0.3">
      <c r="M14" s="16" t="s">
        <v>47</v>
      </c>
      <c r="N14" s="17">
        <v>11</v>
      </c>
    </row>
    <row r="15" spans="9:14" ht="15.75" thickBot="1" x14ac:dyDescent="0.3">
      <c r="M15" s="16" t="s">
        <v>48</v>
      </c>
      <c r="N15" s="17">
        <v>17</v>
      </c>
    </row>
    <row r="16" spans="9:14" ht="34.5" thickBot="1" x14ac:dyDescent="0.3">
      <c r="I16">
        <f>(22/22.98)^4.22</f>
        <v>0.83200629137320314</v>
      </c>
      <c r="M16" s="16" t="s">
        <v>49</v>
      </c>
      <c r="N16" s="17">
        <v>22</v>
      </c>
    </row>
  </sheetData>
  <mergeCells count="2">
    <mergeCell ref="M11:M12"/>
    <mergeCell ref="N11:N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"/>
  <sheetViews>
    <sheetView topLeftCell="J1" zoomScale="205" zoomScaleNormal="205" workbookViewId="0">
      <selection activeCell="L10" sqref="L10"/>
    </sheetView>
  </sheetViews>
  <sheetFormatPr baseColWidth="10" defaultRowHeight="15" x14ac:dyDescent="0.25"/>
  <cols>
    <col min="1" max="1" width="21.5703125" bestFit="1" customWidth="1"/>
    <col min="2" max="2" width="9.42578125" bestFit="1" customWidth="1"/>
    <col min="3" max="3" width="8.85546875" bestFit="1" customWidth="1"/>
    <col min="4" max="4" width="7.42578125" bestFit="1" customWidth="1"/>
    <col min="5" max="5" width="8.85546875" bestFit="1" customWidth="1"/>
    <col min="6" max="6" width="9.28515625" bestFit="1" customWidth="1"/>
    <col min="8" max="8" width="9.28515625" bestFit="1" customWidth="1"/>
    <col min="9" max="10" width="11.140625" bestFit="1" customWidth="1"/>
    <col min="11" max="11" width="11.28515625" bestFit="1" customWidth="1"/>
    <col min="12" max="12" width="8.7109375" bestFit="1" customWidth="1"/>
    <col min="13" max="13" width="9.28515625" bestFit="1" customWidth="1"/>
  </cols>
  <sheetData>
    <row r="1" spans="1:13" s="38" customFormat="1" ht="24.75" x14ac:dyDescent="0.15">
      <c r="A1" s="3" t="s">
        <v>19</v>
      </c>
      <c r="B1" s="37" t="s">
        <v>1</v>
      </c>
      <c r="C1" s="37" t="s">
        <v>2</v>
      </c>
      <c r="D1" s="37" t="s">
        <v>3</v>
      </c>
      <c r="E1" s="37" t="s">
        <v>13</v>
      </c>
      <c r="F1" s="37" t="s">
        <v>14</v>
      </c>
      <c r="G1" s="37" t="s">
        <v>15</v>
      </c>
      <c r="H1" s="37" t="s">
        <v>16</v>
      </c>
      <c r="I1" s="37" t="s">
        <v>17</v>
      </c>
      <c r="J1" s="37" t="s">
        <v>18</v>
      </c>
      <c r="K1" s="37" t="s">
        <v>4</v>
      </c>
      <c r="L1" s="37" t="s">
        <v>5</v>
      </c>
      <c r="M1" s="37" t="s">
        <v>7</v>
      </c>
    </row>
    <row r="2" spans="1:13" x14ac:dyDescent="0.25">
      <c r="A2" s="4">
        <v>1</v>
      </c>
      <c r="B2" s="7">
        <v>50</v>
      </c>
      <c r="C2" s="7">
        <v>58</v>
      </c>
      <c r="D2" s="7">
        <v>50</v>
      </c>
      <c r="E2" s="7">
        <v>32</v>
      </c>
      <c r="F2" s="7">
        <v>20</v>
      </c>
      <c r="G2" s="7">
        <v>60</v>
      </c>
      <c r="H2" s="7">
        <v>32</v>
      </c>
      <c r="I2" s="7">
        <v>20</v>
      </c>
      <c r="J2" s="7">
        <v>45</v>
      </c>
      <c r="K2" s="7">
        <v>20</v>
      </c>
      <c r="L2" s="7">
        <v>32</v>
      </c>
      <c r="M2" s="7">
        <v>45</v>
      </c>
    </row>
    <row r="3" spans="1:13" x14ac:dyDescent="0.25">
      <c r="A3" s="5">
        <v>2</v>
      </c>
      <c r="B3" s="7">
        <v>62</v>
      </c>
      <c r="C3" s="7">
        <v>62</v>
      </c>
      <c r="D3" s="7">
        <v>65</v>
      </c>
      <c r="E3" s="7">
        <v>46</v>
      </c>
      <c r="F3" s="7">
        <v>39</v>
      </c>
      <c r="G3" s="7">
        <v>58</v>
      </c>
      <c r="H3" s="7">
        <v>46</v>
      </c>
      <c r="I3" s="7">
        <v>39</v>
      </c>
      <c r="J3" s="7">
        <v>55</v>
      </c>
      <c r="K3" s="7">
        <v>39</v>
      </c>
      <c r="L3" s="7">
        <v>46</v>
      </c>
      <c r="M3" s="7">
        <v>55</v>
      </c>
    </row>
    <row r="4" spans="1:13" x14ac:dyDescent="0.25">
      <c r="A4" s="5">
        <v>3</v>
      </c>
      <c r="B4" s="7">
        <v>59</v>
      </c>
      <c r="C4" s="7">
        <v>60</v>
      </c>
      <c r="D4" s="7">
        <v>75</v>
      </c>
      <c r="E4" s="7">
        <v>42</v>
      </c>
      <c r="F4" s="7">
        <v>37</v>
      </c>
      <c r="G4" s="7">
        <v>65</v>
      </c>
      <c r="H4" s="7">
        <v>42</v>
      </c>
      <c r="I4" s="7">
        <v>37</v>
      </c>
      <c r="J4" s="7">
        <v>65</v>
      </c>
      <c r="K4" s="7">
        <v>37</v>
      </c>
      <c r="L4" s="7">
        <v>42</v>
      </c>
      <c r="M4" s="7">
        <v>65</v>
      </c>
    </row>
    <row r="5" spans="1:13" x14ac:dyDescent="0.25">
      <c r="A5" s="5">
        <v>4</v>
      </c>
      <c r="B5" s="7">
        <v>62</v>
      </c>
      <c r="C5" s="7">
        <v>53</v>
      </c>
      <c r="D5" s="7">
        <v>80</v>
      </c>
      <c r="E5" s="7">
        <v>40</v>
      </c>
      <c r="F5" s="7">
        <v>41</v>
      </c>
      <c r="G5" s="7">
        <v>75</v>
      </c>
      <c r="H5" s="7">
        <v>40</v>
      </c>
      <c r="I5" s="7">
        <v>41</v>
      </c>
      <c r="J5" s="7">
        <v>78</v>
      </c>
      <c r="K5" s="7">
        <v>41</v>
      </c>
      <c r="L5" s="7">
        <v>40</v>
      </c>
      <c r="M5" s="7">
        <v>78</v>
      </c>
    </row>
    <row r="6" spans="1:13" x14ac:dyDescent="0.25">
      <c r="A6" s="4">
        <v>5</v>
      </c>
      <c r="B6" s="7">
        <v>61</v>
      </c>
      <c r="C6" s="7">
        <v>62</v>
      </c>
      <c r="D6" s="7">
        <v>63</v>
      </c>
      <c r="E6" s="7">
        <v>39</v>
      </c>
      <c r="F6" s="7">
        <v>33</v>
      </c>
      <c r="G6" s="7">
        <v>80</v>
      </c>
      <c r="H6" s="7">
        <v>39</v>
      </c>
      <c r="I6" s="7">
        <v>33</v>
      </c>
      <c r="J6" s="7">
        <v>58</v>
      </c>
      <c r="K6" s="7">
        <v>33</v>
      </c>
      <c r="L6" s="7">
        <v>39</v>
      </c>
      <c r="M6" s="7">
        <v>58</v>
      </c>
    </row>
    <row r="7" spans="1:13" x14ac:dyDescent="0.25">
      <c r="A7" s="1" t="s">
        <v>51</v>
      </c>
      <c r="B7" s="39"/>
      <c r="C7" s="39"/>
      <c r="D7" s="39"/>
      <c r="E7" s="39"/>
      <c r="F7" s="39"/>
    </row>
    <row r="8" spans="1:13" x14ac:dyDescent="0.25">
      <c r="A8" s="1" t="s">
        <v>52</v>
      </c>
      <c r="B8" s="23"/>
      <c r="C8" s="23"/>
      <c r="D8" s="23"/>
      <c r="E8" s="23"/>
      <c r="F8" s="23"/>
    </row>
    <row r="9" spans="1:13" ht="21" x14ac:dyDescent="0.25">
      <c r="B9" s="6"/>
      <c r="C9" s="6"/>
      <c r="D9" s="6"/>
      <c r="E9" s="24"/>
      <c r="F9" s="6"/>
    </row>
    <row r="10" spans="1:13" ht="21" x14ac:dyDescent="0.25">
      <c r="B10" s="6"/>
      <c r="C10" s="6"/>
      <c r="D10" s="24">
        <v>30</v>
      </c>
      <c r="E10" s="24">
        <v>60</v>
      </c>
      <c r="F10" s="6"/>
    </row>
    <row r="11" spans="1:13" x14ac:dyDescent="0.25">
      <c r="B11" s="6"/>
      <c r="C11" s="6"/>
      <c r="D11" s="6"/>
      <c r="E11" s="6"/>
      <c r="F11" s="6"/>
    </row>
    <row r="12" spans="1:13" x14ac:dyDescent="0.25">
      <c r="B12" s="6"/>
      <c r="C12" s="6"/>
      <c r="D12" s="6"/>
      <c r="E12" s="6"/>
      <c r="F12" s="6"/>
    </row>
    <row r="14" spans="1:13" x14ac:dyDescent="0.25">
      <c r="G14" t="s">
        <v>50</v>
      </c>
    </row>
  </sheetData>
  <sortState xmlns:xlrd2="http://schemas.microsoft.com/office/spreadsheetml/2017/richdata2" ref="D2:D6">
    <sortCondition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factor estacionalidad</vt:lpstr>
      <vt:lpstr>Factor nocturnidad</vt:lpstr>
      <vt:lpstr>centralizado</vt:lpstr>
      <vt:lpstr>tasa de crecimiento</vt:lpstr>
      <vt:lpstr>factor hora pico</vt:lpstr>
      <vt:lpstr>velocidad recorrido (2)</vt:lpstr>
      <vt:lpstr>EE</vt:lpstr>
      <vt:lpstr>velocidad recorrido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PFJ</dc:creator>
  <cp:lastModifiedBy>PFJ</cp:lastModifiedBy>
  <dcterms:created xsi:type="dcterms:W3CDTF">2025-04-24T19:39:38Z</dcterms:created>
  <dcterms:modified xsi:type="dcterms:W3CDTF">2025-10-13T12:12:53Z</dcterms:modified>
</cp:coreProperties>
</file>